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chandanrauniyar/Desktop/Excel_Course/"/>
    </mc:Choice>
  </mc:AlternateContent>
  <xr:revisionPtr revIDLastSave="0" documentId="8_{AA69B465-FD1D-E943-BB42-681BD981675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ales_Data" sheetId="1" r:id="rId1"/>
    <sheet name="Product_Lookup" sheetId="2" r:id="rId2"/>
    <sheet name="Region_Targets" sheetId="3" r:id="rId3"/>
    <sheet name="Questions" sheetId="4" r:id="rId4"/>
    <sheet name="Answ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F7" i="5"/>
  <c r="B7" i="5"/>
  <c r="F6" i="5"/>
  <c r="B6" i="5"/>
  <c r="F5" i="5"/>
  <c r="B5" i="5"/>
  <c r="F4" i="5"/>
  <c r="B4" i="5"/>
  <c r="F3" i="5"/>
  <c r="B3" i="5"/>
  <c r="B2" i="5"/>
</calcChain>
</file>

<file path=xl/sharedStrings.xml><?xml version="1.0" encoding="utf-8"?>
<sst xmlns="http://schemas.openxmlformats.org/spreadsheetml/2006/main" count="3441" uniqueCount="438">
  <si>
    <t>Order_ID</t>
  </si>
  <si>
    <t>Order_Date</t>
  </si>
  <si>
    <t>Month</t>
  </si>
  <si>
    <t>Region</t>
  </si>
  <si>
    <t>State</t>
  </si>
  <si>
    <t>City</t>
  </si>
  <si>
    <t>Segment</t>
  </si>
  <si>
    <t>Sales_Channel</t>
  </si>
  <si>
    <t>Product</t>
  </si>
  <si>
    <t>Category</t>
  </si>
  <si>
    <t>Sub_Category</t>
  </si>
  <si>
    <t>Sales_Rep</t>
  </si>
  <si>
    <t>Quantity</t>
  </si>
  <si>
    <t>Unit_Price</t>
  </si>
  <si>
    <t>Discount</t>
  </si>
  <si>
    <t>Shipping_Cost</t>
  </si>
  <si>
    <t>Returned</t>
  </si>
  <si>
    <t>Customer_Rating</t>
  </si>
  <si>
    <t>Payment_Method</t>
  </si>
  <si>
    <t>Notes</t>
  </si>
  <si>
    <t>ORD-10001</t>
  </si>
  <si>
    <t>Mar</t>
  </si>
  <si>
    <t>NSW</t>
  </si>
  <si>
    <t>Newcastle</t>
  </si>
  <si>
    <t>Consumer</t>
  </si>
  <si>
    <t>Online</t>
  </si>
  <si>
    <t>Mechanical Keyboard</t>
  </si>
  <si>
    <t>Technology</t>
  </si>
  <si>
    <t>Accessories</t>
  </si>
  <si>
    <t>Daniel Smith</t>
  </si>
  <si>
    <t>No</t>
  </si>
  <si>
    <t>PayPal</t>
  </si>
  <si>
    <t>ORD-10002</t>
  </si>
  <si>
    <t>Jun</t>
  </si>
  <si>
    <t>QLD</t>
  </si>
  <si>
    <t>Gold Coast</t>
  </si>
  <si>
    <t>Wholesale</t>
  </si>
  <si>
    <t>Green Tea Box</t>
  </si>
  <si>
    <t>Pantry</t>
  </si>
  <si>
    <t>Beverages</t>
  </si>
  <si>
    <t>Farah Ali</t>
  </si>
  <si>
    <t>Bank Transfer</t>
  </si>
  <si>
    <t>ORD-10003</t>
  </si>
  <si>
    <t>Jan</t>
  </si>
  <si>
    <t>Corporate</t>
  </si>
  <si>
    <t>USB-C Hub</t>
  </si>
  <si>
    <t>Emma Wilson</t>
  </si>
  <si>
    <t>ORD-10004</t>
  </si>
  <si>
    <t>Brisbane</t>
  </si>
  <si>
    <t>Home Office</t>
  </si>
  <si>
    <t>Phone</t>
  </si>
  <si>
    <t>Office Chair</t>
  </si>
  <si>
    <t>Furniture</t>
  </si>
  <si>
    <t>Chairs</t>
  </si>
  <si>
    <t>Chen Li</t>
  </si>
  <si>
    <t>ORD-10005</t>
  </si>
  <si>
    <t>Printer Paper Box</t>
  </si>
  <si>
    <t>Office Supplies</t>
  </si>
  <si>
    <t>Paper</t>
  </si>
  <si>
    <t>Grace Nguyen</t>
  </si>
  <si>
    <t>ORD-10006</t>
  </si>
  <si>
    <t>Snack Variety Box</t>
  </si>
  <si>
    <t>Snacks</t>
  </si>
  <si>
    <t>Afterpay</t>
  </si>
  <si>
    <t>ORD-10007</t>
  </si>
  <si>
    <t>May</t>
  </si>
  <si>
    <t>Parramatta</t>
  </si>
  <si>
    <t>Ben Miller</t>
  </si>
  <si>
    <t>Card</t>
  </si>
  <si>
    <t>ORD-10008</t>
  </si>
  <si>
    <t>ORD-10009</t>
  </si>
  <si>
    <t>Apr</t>
  </si>
  <si>
    <t>ORD-10010</t>
  </si>
  <si>
    <t>ORD-10011</t>
  </si>
  <si>
    <t>Feb</t>
  </si>
  <si>
    <t>SA</t>
  </si>
  <si>
    <t>Whyalla</t>
  </si>
  <si>
    <t>Retail</t>
  </si>
  <si>
    <t>Wireless Mouse</t>
  </si>
  <si>
    <t>ORD-10012</t>
  </si>
  <si>
    <t>VIC</t>
  </si>
  <si>
    <t>Bendigo</t>
  </si>
  <si>
    <t>Aisha Khan</t>
  </si>
  <si>
    <t>ORD-10013</t>
  </si>
  <si>
    <t>Mount Gambier</t>
  </si>
  <si>
    <t>Yes</t>
  </si>
  <si>
    <t>ORD-10014</t>
  </si>
  <si>
    <t>Wollongong</t>
  </si>
  <si>
    <t>ORD-10015</t>
  </si>
  <si>
    <t>ORD-10016</t>
  </si>
  <si>
    <t>27in Monitor</t>
  </si>
  <si>
    <t>Displays</t>
  </si>
  <si>
    <t>Hiro Tanaka</t>
  </si>
  <si>
    <t>ORD-10017</t>
  </si>
  <si>
    <t>Sydney</t>
  </si>
  <si>
    <t>ORD-10018</t>
  </si>
  <si>
    <t>ORD-10019</t>
  </si>
  <si>
    <t>Ballarat</t>
  </si>
  <si>
    <t>Bookshelf</t>
  </si>
  <si>
    <t>Storage</t>
  </si>
  <si>
    <t>ORD-10020</t>
  </si>
  <si>
    <t>WA</t>
  </si>
  <si>
    <t>Perth</t>
  </si>
  <si>
    <t>ORD-10021</t>
  </si>
  <si>
    <t>ORD-10022</t>
  </si>
  <si>
    <t>Cairns</t>
  </si>
  <si>
    <t>ORD-10023</t>
  </si>
  <si>
    <t>ORD-10024</t>
  </si>
  <si>
    <t>Fremantle</t>
  </si>
  <si>
    <t>ORD-10025</t>
  </si>
  <si>
    <t>Bunbury</t>
  </si>
  <si>
    <t>Binder Pack</t>
  </si>
  <si>
    <t>Binders &amp; Writing</t>
  </si>
  <si>
    <t>ORD-10026</t>
  </si>
  <si>
    <t>Standing Desk</t>
  </si>
  <si>
    <t>Tables</t>
  </si>
  <si>
    <t>ORD-10027</t>
  </si>
  <si>
    <t>ORD-10028</t>
  </si>
  <si>
    <t>ORD-10029</t>
  </si>
  <si>
    <t>ORD-10030</t>
  </si>
  <si>
    <t>ORD-10031</t>
  </si>
  <si>
    <t>ORD-10032</t>
  </si>
  <si>
    <t>ORD-10033</t>
  </si>
  <si>
    <t>Geelong</t>
  </si>
  <si>
    <t>ORD-10034</t>
  </si>
  <si>
    <t>Coffee Beans 1kg</t>
  </si>
  <si>
    <t>ORD-10035</t>
  </si>
  <si>
    <t>Notebook Pack</t>
  </si>
  <si>
    <t>ORD-10036</t>
  </si>
  <si>
    <t>ORD-10037</t>
  </si>
  <si>
    <t>ORD-10038</t>
  </si>
  <si>
    <t>ORD-10039</t>
  </si>
  <si>
    <t>ORD-10040</t>
  </si>
  <si>
    <t>Melbourne</t>
  </si>
  <si>
    <t>ORD-10041</t>
  </si>
  <si>
    <t>Pen Set</t>
  </si>
  <si>
    <t>ORD-10042</t>
  </si>
  <si>
    <t>ORD-10043</t>
  </si>
  <si>
    <t>ORD-10044</t>
  </si>
  <si>
    <t>Desk Organiser</t>
  </si>
  <si>
    <t>ORD-10045</t>
  </si>
  <si>
    <t>ORD-10046</t>
  </si>
  <si>
    <t>ORD-10047</t>
  </si>
  <si>
    <t>Check address</t>
  </si>
  <si>
    <t>ORD-10048</t>
  </si>
  <si>
    <t>Filing Cabinet</t>
  </si>
  <si>
    <t>ORD-10049</t>
  </si>
  <si>
    <t>ORD-10050</t>
  </si>
  <si>
    <t>ORD-10051</t>
  </si>
  <si>
    <t>Adelaide</t>
  </si>
  <si>
    <t>ORD-10052</t>
  </si>
  <si>
    <t>ORD-10053</t>
  </si>
  <si>
    <t>ORD-10054</t>
  </si>
  <si>
    <t>Laptop Air 13</t>
  </si>
  <si>
    <t>Computers</t>
  </si>
  <si>
    <t>ORD-10055</t>
  </si>
  <si>
    <t>ORD-10056</t>
  </si>
  <si>
    <t>ORD-10057</t>
  </si>
  <si>
    <t>ORD-10058</t>
  </si>
  <si>
    <t>ORD-10059</t>
  </si>
  <si>
    <t>ORD-10060</t>
  </si>
  <si>
    <t>ORD-10061</t>
  </si>
  <si>
    <t>Late delivery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</si>
  <si>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</si>
  <si>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</si>
  <si>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</si>
  <si>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</si>
  <si>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</si>
  <si>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</si>
  <si>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</si>
  <si>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</si>
  <si>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ORD-10070</t>
  </si>
  <si>
    <t>ORD-10071</t>
  </si>
  <si>
    <t>ORD-10072</t>
  </si>
  <si>
    <t>Laptop Pro 14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</si>
  <si>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</si>
  <si>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</si>
  <si>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</si>
  <si>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</si>
  <si>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</si>
  <si>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</si>
  <si>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</si>
  <si>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</si>
  <si>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</si>
  <si>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</si>
  <si>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ORD-10083</t>
  </si>
  <si>
    <t>ORD-10084</t>
  </si>
  <si>
    <t>ORD-10085</t>
  </si>
  <si>
    <t>ORD-10086</t>
  </si>
  <si>
    <t>ORD-10087</t>
  </si>
  <si>
    <t>Townsville</t>
  </si>
  <si>
    <t>ORD-10088</t>
  </si>
  <si>
    <t>ORD-10089</t>
  </si>
  <si>
    <t>ORD-10090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</si>
  <si>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</si>
  <si>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</si>
  <si>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</si>
  <si>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</si>
  <si>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</si>
  <si>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</si>
  <si>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</si>
  <si>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</si>
  <si>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</si>
  <si>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</si>
  <si>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</si>
  <si>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</si>
  <si>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</si>
  <si>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</si>
  <si>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</si>
  <si>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</si>
  <si>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</si>
  <si>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</si>
  <si>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</si>
  <si>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</si>
  <si>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</si>
  <si>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</si>
  <si>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</si>
  <si>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</si>
  <si>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</si>
  <si>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</si>
  <si>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</si>
  <si>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</si>
  <si>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</si>
  <si>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</si>
  <si>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</si>
  <si>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</si>
  <si>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</si>
  <si>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</si>
  <si>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</si>
  <si>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</si>
  <si>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</si>
  <si>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</si>
  <si>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</si>
  <si>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</si>
  <si>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</si>
  <si>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</si>
  <si>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</si>
  <si>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</si>
  <si>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</si>
  <si>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</si>
  <si>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</si>
  <si>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</si>
  <si>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</si>
  <si>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</si>
  <si>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</si>
  <si>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</si>
  <si>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</si>
  <si>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</si>
  <si>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</si>
  <si>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</si>
  <si>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</si>
  <si>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</si>
  <si>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</si>
  <si>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</si>
  <si>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</si>
  <si>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</si>
  <si>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</si>
  <si>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</si>
  <si>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</si>
  <si>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</si>
  <si>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</si>
  <si>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</si>
  <si>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</si>
  <si>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</si>
  <si>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</si>
  <si>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</si>
  <si>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</si>
  <si>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</si>
  <si>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</si>
  <si>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</si>
  <si>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</si>
  <si>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</si>
  <si>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</si>
  <si>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</si>
  <si>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</si>
  <si>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</si>
  <si>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</si>
  <si>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</si>
  <si>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</si>
  <si>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</si>
  <si>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</si>
  <si>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</si>
  <si>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</si>
  <si>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</si>
  <si>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</si>
  <si>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</si>
  <si>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</si>
  <si>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</si>
  <si>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</si>
  <si>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</si>
  <si>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</si>
  <si>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</si>
  <si>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</si>
  <si>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</si>
  <si>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</si>
  <si>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</si>
  <si>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</si>
  <si>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</si>
  <si>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</si>
  <si>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</si>
  <si>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</si>
  <si>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</si>
  <si>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</si>
  <si>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</si>
  <si>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ORD-10201</t>
  </si>
  <si>
    <t>ORD-10202</t>
  </si>
  <si>
    <t>ORD-10203</t>
  </si>
  <si>
    <t>ORD-10204</t>
  </si>
  <si>
    <t>ORD-10205</t>
  </si>
  <si>
    <t>ORD-10206</t>
  </si>
  <si>
    <t>ORD-10207</t>
  </si>
  <si>
    <t>ORD-10208</t>
  </si>
  <si>
    <t>ORD-10209</t>
  </si>
  <si>
    <t>ORD-10210</t>
  </si>
  <si>
    <t>ORD-10211</t>
  </si>
  <si>
    <t>ORD-10212</t>
  </si>
  <si>
    <t>ORD-10213</t>
  </si>
  <si>
    <t>ORD-10214</t>
  </si>
  <si>
    <t>ORD-10215</t>
  </si>
  <si>
    <t>ORD-10216</t>
  </si>
  <si>
    <t>ORD-10217</t>
  </si>
  <si>
    <t>ORD-10218</t>
  </si>
  <si>
    <t>ORD-10219</t>
  </si>
  <si>
    <t>ORD-10220</t>
  </si>
  <si>
    <t>ORD-10221</t>
  </si>
  <si>
    <t>ORD-10222</t>
  </si>
  <si>
    <t>ORD-10223</t>
  </si>
  <si>
    <t>ORD-10224</t>
  </si>
  <si>
    <t>ORD-10225</t>
  </si>
  <si>
    <t>ORD-10226</t>
  </si>
  <si>
    <t>ORD-10227</t>
  </si>
  <si>
    <t>ORD-10228</t>
  </si>
  <si>
    <t>ORD-10229</t>
  </si>
  <si>
    <t>ORD-10230</t>
  </si>
  <si>
    <t>ORD-10231</t>
  </si>
  <si>
    <t>ORD-10232</t>
  </si>
  <si>
    <t>ORD-10233</t>
  </si>
  <si>
    <t>ORD-10234</t>
  </si>
  <si>
    <t>ORD-10235</t>
  </si>
  <si>
    <t>ORD-10236</t>
  </si>
  <si>
    <t>ORD-10237</t>
  </si>
  <si>
    <t>ORD-10238</t>
  </si>
  <si>
    <t>ORD-10239</t>
  </si>
  <si>
    <t>ORD-10240</t>
  </si>
  <si>
    <t>ORD-10241</t>
  </si>
  <si>
    <t>ORD-10242</t>
  </si>
  <si>
    <t>ORD-10243</t>
  </si>
  <si>
    <t>ORD-10244</t>
  </si>
  <si>
    <t>ORD-10245</t>
  </si>
  <si>
    <t>ORD-10246</t>
  </si>
  <si>
    <t>ORD-10247</t>
  </si>
  <si>
    <t>ORD-10248</t>
  </si>
  <si>
    <t>ORD-10249</t>
  </si>
  <si>
    <t>ORD-10250</t>
  </si>
  <si>
    <t>Cost_Per_Unit</t>
  </si>
  <si>
    <t>Target_Margin</t>
  </si>
  <si>
    <t>Monthly_Sales_Target</t>
  </si>
  <si>
    <t>Monthly_Profit_Target</t>
  </si>
  <si>
    <t>Level</t>
  </si>
  <si>
    <t>Skill</t>
  </si>
  <si>
    <t>Practice question</t>
  </si>
  <si>
    <t>Suggested Excel feature/formula</t>
  </si>
  <si>
    <t>How to use this workbook</t>
  </si>
  <si>
    <t>Basic</t>
  </si>
  <si>
    <t>Sorting &amp; filters</t>
  </si>
  <si>
    <t>Filter Sales_Data to show only Technology orders from NSW.</t>
  </si>
  <si>
    <t>Filter / slicer</t>
  </si>
  <si>
    <t>1) Use Sales_Data as the raw dataset.
2) Add your calculated columns to the right of the table.
3) Use Product_Lookup and Region_Targets for XLOOKUP/VLOOKUP practice.
4) Use Answer_Check to verify some basic results.</t>
  </si>
  <si>
    <t>Calculated columns</t>
  </si>
  <si>
    <t>Add Gross Sales = Quantity * Unit Price.</t>
  </si>
  <si>
    <t>=[@Quantity]*[@Unit_Price]</t>
  </si>
  <si>
    <t>Add Discount Amount = Gross Sales * Discount.</t>
  </si>
  <si>
    <t>=[@Gross_Sales]*[@Discount]</t>
  </si>
  <si>
    <t>Add Net Sales = Gross Sales - Discount Amount.</t>
  </si>
  <si>
    <t>=[@Gross_Sales]-[@Discount_Amount]</t>
  </si>
  <si>
    <t>COUNTIF</t>
  </si>
  <si>
    <t>Count how many orders were returned.</t>
  </si>
  <si>
    <t>=COUNTIF(Returned column,"Yes")</t>
  </si>
  <si>
    <t>SUMIF</t>
  </si>
  <si>
    <t>Calculate total Net Sales for NSW only.</t>
  </si>
  <si>
    <t>=SUMIF(Region column,"NSW",Net Sales column)</t>
  </si>
  <si>
    <t>Intermediate</t>
  </si>
  <si>
    <t>SUMIFS</t>
  </si>
  <si>
    <t>Calculate total Net Sales for Technology in NSW.</t>
  </si>
  <si>
    <t>=SUMIFS(Net Sales,Category,"Technology",Region,"NSW")</t>
  </si>
  <si>
    <t>AVERAGEIFS</t>
  </si>
  <si>
    <t>Find average discount for Furniture in VIC.</t>
  </si>
  <si>
    <t>=AVERAGEIFS(Discount,Category,"Furniture",Region,"VIC")</t>
  </si>
  <si>
    <t>XLOOKUP</t>
  </si>
  <si>
    <t>Bring Cost_Per_Unit from Product_Lookup into Sales_Data.</t>
  </si>
  <si>
    <t>=XLOOKUP([@Product],Product_Lookup[Product],Product_Lookup[Cost_Per_Unit])</t>
  </si>
  <si>
    <t>Profit analysis</t>
  </si>
  <si>
    <t>Add Profit = Net Sales - Cost - Shipping Cost.</t>
  </si>
  <si>
    <t>Cost = Quantity * Cost_Per_Unit</t>
  </si>
  <si>
    <t>IF</t>
  </si>
  <si>
    <t>Create Profit Status: Profitable / Loss.</t>
  </si>
  <si>
    <t>=IF([@Profit]&gt;0,"Profitable","Loss")</t>
  </si>
  <si>
    <t>Pivot table</t>
  </si>
  <si>
    <t>Create a pivot: Region rows, Category columns, Sum of Net Sales values.</t>
  </si>
  <si>
    <t>PivotTable</t>
  </si>
  <si>
    <t>Charts</t>
  </si>
  <si>
    <t>Create a bar chart showing total Net Sales by Region.</t>
  </si>
  <si>
    <t>Pivot chart / bar chart</t>
  </si>
  <si>
    <t>Advanced</t>
  </si>
  <si>
    <t>Top N</t>
  </si>
  <si>
    <t>Find top 10 products by Net Sales.</t>
  </si>
  <si>
    <t>Pivot filter or SORT/FILTER</t>
  </si>
  <si>
    <t>Margin</t>
  </si>
  <si>
    <t>Calculate profit margin and highlight rows below 10%.</t>
  </si>
  <si>
    <t>=Profit/Net Sales + conditional formatting</t>
  </si>
  <si>
    <t>Targets</t>
  </si>
  <si>
    <t>Compare regional Net Sales against Region_Targets.</t>
  </si>
  <si>
    <t>XLOOKUP + variance formula</t>
  </si>
  <si>
    <t>Check item</t>
  </si>
  <si>
    <t>Formula to use after adding calculated columns</t>
  </si>
  <si>
    <t>Expected / Notes</t>
  </si>
  <si>
    <t>Mini KPI Summary</t>
  </si>
  <si>
    <t>Total raw quantity</t>
  </si>
  <si>
    <t>Should calculate immediately</t>
  </si>
  <si>
    <t>Metric</t>
  </si>
  <si>
    <t>Formula</t>
  </si>
  <si>
    <t>Total raw unit-price sales</t>
  </si>
  <si>
    <t>Gross sales before discount</t>
  </si>
  <si>
    <t>Orders</t>
  </si>
  <si>
    <t>Returned orders</t>
  </si>
  <si>
    <t>Count returned orders</t>
  </si>
  <si>
    <t>Unique products</t>
  </si>
  <si>
    <t>Technology orders</t>
  </si>
  <si>
    <t>Category count</t>
  </si>
  <si>
    <t>Gross sales</t>
  </si>
  <si>
    <t>NSW orders</t>
  </si>
  <si>
    <t>Region count</t>
  </si>
  <si>
    <t>Average rating</t>
  </si>
  <si>
    <t>Average discount</t>
  </si>
  <si>
    <t>Average discount decimal</t>
  </si>
  <si>
    <t>Return rate</t>
  </si>
  <si>
    <t>Highest unit price</t>
  </si>
  <si>
    <t>Largest single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</si>
</sst>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\$#,##0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10" fontId="0" fillId="0" borderId="0" xfId="0" applyNumberFormat="1"/>
  </cellXfs>
  <cellStyles count="1">
    <cellStyle name="Normal" xfId="0" builtinId="0"/>
  </cellStyles>
  <dxfs count="2">
    <dxf>
      <fill>
        <patternFill>
          <bgColor rgb="FFFDE68A"/>
        </patternFill>
      </fill>
    </dxf>
    <dxf>
      <fill>
        <patternFill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Table" displayName="SalesDataTable" ref="A1:T251">
  <sortState xmlns:xlrd2="http://schemas.microsoft.com/office/spreadsheetml/2017/richdata2" ref="A2:T251">
    <sortCondition ref="B2:B251"/>
  </sortState>
  <tableColumns count="20">
    <tableColumn id="1" xr3:uid="{00000000-0010-0000-0000-000001000000}" name="Order_ID"/>
    <tableColumn id="2" xr3:uid="{00000000-0010-0000-0000-000002000000}" name="Order_Date"/>
    <tableColumn id="3" xr3:uid="{00000000-0010-0000-0000-000003000000}" name="Month"/>
    <tableColumn id="4" xr3:uid="{00000000-0010-0000-0000-000004000000}" name="Region"/>
    <tableColumn id="5" xr3:uid="{00000000-0010-0000-0000-000005000000}" name="State"/>
    <tableColumn id="6" xr3:uid="{00000000-0010-0000-0000-000006000000}" name="City"/>
    <tableColumn id="7" xr3:uid="{00000000-0010-0000-0000-000007000000}" name="Segment"/>
    <tableColumn id="8" xr3:uid="{00000000-0010-0000-0000-000008000000}" name="Sales_Channel"/>
    <tableColumn id="9" xr3:uid="{00000000-0010-0000-0000-000009000000}" name="Product"/>
    <tableColumn id="10" xr3:uid="{00000000-0010-0000-0000-00000A000000}" name="Category"/>
    <tableColumn id="11" xr3:uid="{00000000-0010-0000-0000-00000B000000}" name="Sub_Category"/>
    <tableColumn id="12" xr3:uid="{00000000-0010-0000-0000-00000C000000}" name="Sales_Rep"/>
    <tableColumn id="13" xr3:uid="{00000000-0010-0000-0000-00000D000000}" name="Quantity"/>
    <tableColumn id="14" xr3:uid="{00000000-0010-0000-0000-00000E000000}" name="Unit_Price"/>
    <tableColumn id="15" xr3:uid="{00000000-0010-0000-0000-00000F000000}" name="Discount"/>
    <tableColumn id="16" xr3:uid="{00000000-0010-0000-0000-000010000000}" name="Shipping_Cost"/>
    <tableColumn id="17" xr3:uid="{00000000-0010-0000-0000-000011000000}" name="Returned"/>
    <tableColumn id="18" xr3:uid="{00000000-0010-0000-0000-000012000000}" name="Customer_Rating"/>
    <tableColumn id="19" xr3:uid="{00000000-0010-0000-0000-000013000000}" name="Payment_Method"/>
    <tableColumn id="20" xr3:uid="{00000000-0010-0000-0000-00001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LookupTable" displayName="ProductLookupTable" ref="A1:E19">
  <tableColumns count="5">
    <tableColumn id="1" xr3:uid="{00000000-0010-0000-0100-000001000000}" name="Product"/>
    <tableColumn id="2" xr3:uid="{00000000-0010-0000-0100-000002000000}" name="Category"/>
    <tableColumn id="3" xr3:uid="{00000000-0010-0000-0100-000003000000}" name="Sub_Category"/>
    <tableColumn id="4" xr3:uid="{00000000-0010-0000-0100-000004000000}" name="Cost_Per_Unit"/>
    <tableColumn id="5" xr3:uid="{00000000-0010-0000-0100-000005000000}" name="Target_Margi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gionTargetsTable" displayName="RegionTargetsTable" ref="A1:C6">
  <tableColumns count="3">
    <tableColumn id="1" xr3:uid="{00000000-0010-0000-0200-000001000000}" name="Region"/>
    <tableColumn id="2" xr3:uid="{00000000-0010-0000-0200-000002000000}" name="Monthly_Sales_Target"/>
    <tableColumn id="3" xr3:uid="{00000000-0010-0000-0200-000003000000}" name="Monthly_Profit_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tabSelected="1" workbookViewId="0">
      <selection activeCell="B2" sqref="B2"/>
    </sheetView>
  </sheetViews>
  <sheetFormatPr baseColWidth="10" defaultColWidth="8.83203125" defaultRowHeight="14"/>
  <cols>
    <col min="1" max="2" width="12" customWidth="1"/>
    <col min="3" max="3" width="8" customWidth="1"/>
    <col min="4" max="5" width="10" customWidth="1"/>
    <col min="6" max="6" width="16" customWidth="1"/>
    <col min="7" max="8" width="14" customWidth="1"/>
    <col min="9" max="9" width="22" customWidth="1"/>
    <col min="10" max="10" width="18" customWidth="1"/>
    <col min="11" max="11" width="20" customWidth="1"/>
    <col min="12" max="12" width="18" customWidth="1"/>
    <col min="13" max="13" width="10" customWidth="1"/>
    <col min="14" max="15" width="12" customWidth="1"/>
    <col min="16" max="16" width="18.33203125" customWidth="1"/>
    <col min="17" max="17" width="10" customWidth="1"/>
    <col min="18" max="18" width="14" customWidth="1"/>
    <col min="19" max="19" width="16" customWidth="1"/>
    <col min="20" max="20" width="18" customWidth="1"/>
  </cols>
  <sheetData>
    <row r="1" spans="1:20" ht="3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191</v>
      </c>
      <c r="B2" s="2">
        <v>46024</v>
      </c>
      <c r="C2" t="s">
        <v>43</v>
      </c>
      <c r="D2" t="s">
        <v>80</v>
      </c>
      <c r="E2" t="s">
        <v>80</v>
      </c>
      <c r="F2" t="s">
        <v>133</v>
      </c>
      <c r="G2" t="s">
        <v>44</v>
      </c>
      <c r="H2" t="s">
        <v>36</v>
      </c>
      <c r="I2" t="s">
        <v>114</v>
      </c>
      <c r="J2" t="s">
        <v>52</v>
      </c>
      <c r="K2" t="s">
        <v>115</v>
      </c>
      <c r="L2" t="s">
        <v>54</v>
      </c>
      <c r="M2">
        <v>2</v>
      </c>
      <c r="N2" s="3">
        <v>318.87</v>
      </c>
      <c r="O2" s="4">
        <v>0.15</v>
      </c>
      <c r="P2" s="3">
        <v>9.9499999999999993</v>
      </c>
      <c r="Q2" t="s">
        <v>30</v>
      </c>
      <c r="R2">
        <v>3</v>
      </c>
      <c r="S2" t="s">
        <v>31</v>
      </c>
    </row>
    <row r="3" spans="1:20">
      <c r="A3" t="s">
        <v>351</v>
      </c>
      <c r="B3" s="2">
        <v>46024</v>
      </c>
      <c r="C3" t="s">
        <v>43</v>
      </c>
      <c r="D3" t="s">
        <v>75</v>
      </c>
      <c r="E3" t="s">
        <v>75</v>
      </c>
      <c r="F3" t="s">
        <v>84</v>
      </c>
      <c r="G3" t="s">
        <v>24</v>
      </c>
      <c r="H3" t="s">
        <v>25</v>
      </c>
      <c r="I3" t="s">
        <v>111</v>
      </c>
      <c r="J3" t="s">
        <v>57</v>
      </c>
      <c r="K3" t="s">
        <v>112</v>
      </c>
      <c r="L3" t="s">
        <v>29</v>
      </c>
      <c r="M3">
        <v>1</v>
      </c>
      <c r="N3" s="3">
        <v>6.59</v>
      </c>
      <c r="O3" s="4">
        <v>0.05</v>
      </c>
      <c r="P3" s="3">
        <v>0</v>
      </c>
      <c r="Q3" t="s">
        <v>30</v>
      </c>
      <c r="R3">
        <v>4</v>
      </c>
      <c r="S3" t="s">
        <v>31</v>
      </c>
    </row>
    <row r="4" spans="1:20">
      <c r="A4" t="s">
        <v>136</v>
      </c>
      <c r="B4" s="2">
        <v>46026</v>
      </c>
      <c r="C4" t="s">
        <v>43</v>
      </c>
      <c r="D4" t="s">
        <v>22</v>
      </c>
      <c r="E4" t="s">
        <v>22</v>
      </c>
      <c r="F4" t="s">
        <v>23</v>
      </c>
      <c r="G4" t="s">
        <v>49</v>
      </c>
      <c r="H4" t="s">
        <v>77</v>
      </c>
      <c r="I4" t="s">
        <v>56</v>
      </c>
      <c r="J4" t="s">
        <v>57</v>
      </c>
      <c r="K4" t="s">
        <v>58</v>
      </c>
      <c r="L4" t="s">
        <v>59</v>
      </c>
      <c r="M4">
        <v>7</v>
      </c>
      <c r="N4" s="3">
        <v>25.92</v>
      </c>
      <c r="O4" s="4">
        <v>0</v>
      </c>
      <c r="P4" s="3">
        <v>24.95</v>
      </c>
      <c r="Q4" t="s">
        <v>30</v>
      </c>
      <c r="R4">
        <v>2</v>
      </c>
      <c r="S4" t="s">
        <v>31</v>
      </c>
    </row>
    <row r="5" spans="1:20">
      <c r="A5" t="s">
        <v>262</v>
      </c>
      <c r="B5" s="2">
        <v>46027</v>
      </c>
      <c r="C5" t="s">
        <v>43</v>
      </c>
      <c r="D5" t="s">
        <v>80</v>
      </c>
      <c r="E5" t="s">
        <v>80</v>
      </c>
      <c r="F5" t="s">
        <v>133</v>
      </c>
      <c r="G5" t="s">
        <v>24</v>
      </c>
      <c r="H5" t="s">
        <v>25</v>
      </c>
      <c r="I5" t="s">
        <v>61</v>
      </c>
      <c r="J5" t="s">
        <v>38</v>
      </c>
      <c r="K5" t="s">
        <v>62</v>
      </c>
      <c r="L5" t="s">
        <v>67</v>
      </c>
      <c r="M5">
        <v>3</v>
      </c>
      <c r="N5" s="3">
        <v>16.28</v>
      </c>
      <c r="O5" s="4">
        <v>0.3</v>
      </c>
      <c r="P5" s="3">
        <v>0</v>
      </c>
      <c r="Q5" t="s">
        <v>30</v>
      </c>
      <c r="R5">
        <v>5</v>
      </c>
      <c r="S5" t="s">
        <v>31</v>
      </c>
    </row>
    <row r="6" spans="1:20">
      <c r="A6" t="s">
        <v>293</v>
      </c>
      <c r="B6" s="2">
        <v>46027</v>
      </c>
      <c r="C6" t="s">
        <v>43</v>
      </c>
      <c r="D6" t="s">
        <v>22</v>
      </c>
      <c r="E6" t="s">
        <v>22</v>
      </c>
      <c r="F6" t="s">
        <v>87</v>
      </c>
      <c r="G6" t="s">
        <v>49</v>
      </c>
      <c r="H6" t="s">
        <v>50</v>
      </c>
      <c r="I6" t="s">
        <v>153</v>
      </c>
      <c r="J6" t="s">
        <v>27</v>
      </c>
      <c r="K6" t="s">
        <v>154</v>
      </c>
      <c r="L6" t="s">
        <v>54</v>
      </c>
      <c r="M6">
        <v>1</v>
      </c>
      <c r="N6" s="3">
        <v>811.69</v>
      </c>
      <c r="O6" s="4">
        <v>0</v>
      </c>
      <c r="P6" s="3">
        <v>14.95</v>
      </c>
      <c r="Q6" t="s">
        <v>30</v>
      </c>
      <c r="R6">
        <v>4</v>
      </c>
      <c r="S6" t="s">
        <v>41</v>
      </c>
    </row>
    <row r="7" spans="1:20">
      <c r="A7" t="s">
        <v>319</v>
      </c>
      <c r="B7" s="2">
        <v>46030</v>
      </c>
      <c r="C7" t="s">
        <v>43</v>
      </c>
      <c r="D7" t="s">
        <v>22</v>
      </c>
      <c r="E7" t="s">
        <v>22</v>
      </c>
      <c r="F7" t="s">
        <v>66</v>
      </c>
      <c r="G7" t="s">
        <v>24</v>
      </c>
      <c r="H7" t="s">
        <v>25</v>
      </c>
      <c r="I7" t="s">
        <v>90</v>
      </c>
      <c r="J7" t="s">
        <v>27</v>
      </c>
      <c r="K7" t="s">
        <v>91</v>
      </c>
      <c r="L7" t="s">
        <v>29</v>
      </c>
      <c r="M7">
        <v>8</v>
      </c>
      <c r="N7" s="3">
        <v>182.79</v>
      </c>
      <c r="O7" s="4">
        <v>0.4</v>
      </c>
      <c r="P7" s="3">
        <v>24.95</v>
      </c>
      <c r="Q7" t="s">
        <v>30</v>
      </c>
      <c r="R7">
        <v>4</v>
      </c>
      <c r="S7" t="s">
        <v>31</v>
      </c>
    </row>
    <row r="8" spans="1:20">
      <c r="A8" t="s">
        <v>177</v>
      </c>
      <c r="B8" s="2">
        <v>46031</v>
      </c>
      <c r="C8" t="s">
        <v>43</v>
      </c>
      <c r="D8" t="s">
        <v>34</v>
      </c>
      <c r="E8" t="s">
        <v>34</v>
      </c>
      <c r="F8" t="s">
        <v>105</v>
      </c>
      <c r="G8" t="s">
        <v>49</v>
      </c>
      <c r="H8" t="s">
        <v>50</v>
      </c>
      <c r="I8" t="s">
        <v>125</v>
      </c>
      <c r="J8" t="s">
        <v>38</v>
      </c>
      <c r="K8" t="s">
        <v>39</v>
      </c>
      <c r="L8" t="s">
        <v>40</v>
      </c>
      <c r="M8">
        <v>5</v>
      </c>
      <c r="N8" s="3">
        <v>18.03</v>
      </c>
      <c r="O8" s="4">
        <v>0.05</v>
      </c>
      <c r="P8" s="3">
        <v>5.95</v>
      </c>
      <c r="Q8" t="s">
        <v>30</v>
      </c>
      <c r="R8">
        <v>4</v>
      </c>
      <c r="S8" t="s">
        <v>68</v>
      </c>
    </row>
    <row r="9" spans="1:20">
      <c r="A9" t="s">
        <v>317</v>
      </c>
      <c r="B9" s="2">
        <v>46031</v>
      </c>
      <c r="C9" t="s">
        <v>43</v>
      </c>
      <c r="D9" t="s">
        <v>80</v>
      </c>
      <c r="E9" t="s">
        <v>80</v>
      </c>
      <c r="F9" t="s">
        <v>123</v>
      </c>
      <c r="G9" t="s">
        <v>44</v>
      </c>
      <c r="H9" t="s">
        <v>36</v>
      </c>
      <c r="I9" t="s">
        <v>98</v>
      </c>
      <c r="J9" t="s">
        <v>52</v>
      </c>
      <c r="K9" t="s">
        <v>99</v>
      </c>
      <c r="L9" t="s">
        <v>54</v>
      </c>
      <c r="M9">
        <v>4</v>
      </c>
      <c r="N9" s="3">
        <v>136.66999999999999</v>
      </c>
      <c r="O9" s="4">
        <v>0.05</v>
      </c>
      <c r="P9" s="3">
        <v>19.95</v>
      </c>
      <c r="Q9" t="s">
        <v>30</v>
      </c>
      <c r="R9">
        <v>4</v>
      </c>
      <c r="S9" t="s">
        <v>63</v>
      </c>
    </row>
    <row r="10" spans="1:20">
      <c r="A10" t="s">
        <v>337</v>
      </c>
      <c r="B10" s="2">
        <v>46032</v>
      </c>
      <c r="C10" t="s">
        <v>43</v>
      </c>
      <c r="D10" t="s">
        <v>80</v>
      </c>
      <c r="E10" t="s">
        <v>80</v>
      </c>
      <c r="F10" t="s">
        <v>81</v>
      </c>
      <c r="G10" t="s">
        <v>24</v>
      </c>
      <c r="H10" t="s">
        <v>50</v>
      </c>
      <c r="I10" t="s">
        <v>98</v>
      </c>
      <c r="J10" t="s">
        <v>52</v>
      </c>
      <c r="K10" t="s">
        <v>99</v>
      </c>
      <c r="L10" t="s">
        <v>46</v>
      </c>
      <c r="M10">
        <v>3</v>
      </c>
      <c r="N10" s="3">
        <v>142.6</v>
      </c>
      <c r="O10" s="4">
        <v>0</v>
      </c>
      <c r="P10" s="3">
        <v>14.95</v>
      </c>
      <c r="Q10" t="s">
        <v>85</v>
      </c>
      <c r="R10">
        <v>2</v>
      </c>
      <c r="S10" t="s">
        <v>41</v>
      </c>
    </row>
    <row r="11" spans="1:20">
      <c r="A11" t="s">
        <v>104</v>
      </c>
      <c r="B11" s="2">
        <v>46034</v>
      </c>
      <c r="C11" t="s">
        <v>43</v>
      </c>
      <c r="D11" t="s">
        <v>34</v>
      </c>
      <c r="E11" t="s">
        <v>34</v>
      </c>
      <c r="F11" t="s">
        <v>105</v>
      </c>
      <c r="G11" t="s">
        <v>49</v>
      </c>
      <c r="H11" t="s">
        <v>25</v>
      </c>
      <c r="I11" t="s">
        <v>78</v>
      </c>
      <c r="J11" t="s">
        <v>27</v>
      </c>
      <c r="K11" t="s">
        <v>28</v>
      </c>
      <c r="L11" t="s">
        <v>67</v>
      </c>
      <c r="M11">
        <v>1</v>
      </c>
      <c r="N11" s="3">
        <v>17.84</v>
      </c>
      <c r="O11" s="4">
        <v>0</v>
      </c>
      <c r="P11" s="3">
        <v>24.95</v>
      </c>
      <c r="Q11" t="s">
        <v>30</v>
      </c>
      <c r="R11">
        <v>5</v>
      </c>
      <c r="S11" t="s">
        <v>68</v>
      </c>
    </row>
    <row r="12" spans="1:20">
      <c r="A12" t="s">
        <v>163</v>
      </c>
      <c r="B12" s="2">
        <v>46034</v>
      </c>
      <c r="C12" t="s">
        <v>43</v>
      </c>
      <c r="D12" t="s">
        <v>22</v>
      </c>
      <c r="E12" t="s">
        <v>22</v>
      </c>
      <c r="F12" t="s">
        <v>87</v>
      </c>
      <c r="G12" t="s">
        <v>44</v>
      </c>
      <c r="H12" t="s">
        <v>25</v>
      </c>
      <c r="I12" t="s">
        <v>135</v>
      </c>
      <c r="J12" t="s">
        <v>57</v>
      </c>
      <c r="K12" t="s">
        <v>112</v>
      </c>
      <c r="L12" t="s">
        <v>54</v>
      </c>
      <c r="M12">
        <v>2</v>
      </c>
      <c r="N12" s="3">
        <v>3.59</v>
      </c>
      <c r="O12" s="4">
        <v>0.2</v>
      </c>
      <c r="P12" s="3">
        <v>14.95</v>
      </c>
      <c r="Q12" t="s">
        <v>30</v>
      </c>
      <c r="R12">
        <v>4</v>
      </c>
      <c r="S12" t="s">
        <v>41</v>
      </c>
    </row>
    <row r="13" spans="1:20">
      <c r="A13" t="s">
        <v>185</v>
      </c>
      <c r="B13" s="2">
        <v>46036</v>
      </c>
      <c r="C13" t="s">
        <v>43</v>
      </c>
      <c r="D13" t="s">
        <v>80</v>
      </c>
      <c r="E13" t="s">
        <v>80</v>
      </c>
      <c r="F13" t="s">
        <v>81</v>
      </c>
      <c r="G13" t="s">
        <v>24</v>
      </c>
      <c r="H13" t="s">
        <v>25</v>
      </c>
      <c r="I13" t="s">
        <v>111</v>
      </c>
      <c r="J13" t="s">
        <v>57</v>
      </c>
      <c r="K13" t="s">
        <v>112</v>
      </c>
      <c r="L13" t="s">
        <v>40</v>
      </c>
      <c r="M13">
        <v>10</v>
      </c>
      <c r="N13" s="3">
        <v>6.89</v>
      </c>
      <c r="O13" s="4">
        <v>0.05</v>
      </c>
      <c r="P13" s="3">
        <v>14.95</v>
      </c>
      <c r="Q13" t="s">
        <v>30</v>
      </c>
      <c r="R13">
        <v>2</v>
      </c>
      <c r="S13" t="s">
        <v>41</v>
      </c>
    </row>
    <row r="14" spans="1:20">
      <c r="A14" t="s">
        <v>60</v>
      </c>
      <c r="B14" s="2">
        <v>46037</v>
      </c>
      <c r="C14" t="s">
        <v>43</v>
      </c>
      <c r="D14" t="s">
        <v>22</v>
      </c>
      <c r="E14" t="s">
        <v>22</v>
      </c>
      <c r="F14" t="s">
        <v>23</v>
      </c>
      <c r="G14" t="s">
        <v>24</v>
      </c>
      <c r="H14" t="s">
        <v>36</v>
      </c>
      <c r="I14" t="s">
        <v>61</v>
      </c>
      <c r="J14" t="s">
        <v>38</v>
      </c>
      <c r="K14" t="s">
        <v>62</v>
      </c>
      <c r="L14" t="s">
        <v>59</v>
      </c>
      <c r="M14">
        <v>2</v>
      </c>
      <c r="N14" s="3">
        <v>15.79</v>
      </c>
      <c r="O14" s="4">
        <v>0</v>
      </c>
      <c r="P14" s="3">
        <v>9.9499999999999993</v>
      </c>
      <c r="Q14" t="s">
        <v>30</v>
      </c>
      <c r="R14">
        <v>5</v>
      </c>
      <c r="S14" t="s">
        <v>63</v>
      </c>
    </row>
    <row r="15" spans="1:20">
      <c r="A15" t="s">
        <v>264</v>
      </c>
      <c r="B15" s="2">
        <v>46037</v>
      </c>
      <c r="C15" t="s">
        <v>43</v>
      </c>
      <c r="D15" t="s">
        <v>80</v>
      </c>
      <c r="E15" t="s">
        <v>80</v>
      </c>
      <c r="F15" t="s">
        <v>81</v>
      </c>
      <c r="G15" t="s">
        <v>49</v>
      </c>
      <c r="H15" t="s">
        <v>25</v>
      </c>
      <c r="I15" t="s">
        <v>135</v>
      </c>
      <c r="J15" t="s">
        <v>57</v>
      </c>
      <c r="K15" t="s">
        <v>112</v>
      </c>
      <c r="L15" t="s">
        <v>82</v>
      </c>
      <c r="M15">
        <v>4</v>
      </c>
      <c r="N15" s="3">
        <v>3.67</v>
      </c>
      <c r="O15" s="4">
        <v>0</v>
      </c>
      <c r="P15" s="3">
        <v>14.95</v>
      </c>
      <c r="Q15" t="s">
        <v>30</v>
      </c>
      <c r="R15">
        <v>5</v>
      </c>
      <c r="S15" t="s">
        <v>31</v>
      </c>
    </row>
    <row r="16" spans="1:20">
      <c r="A16" t="s">
        <v>340</v>
      </c>
      <c r="B16" s="2">
        <v>46037</v>
      </c>
      <c r="C16" t="s">
        <v>43</v>
      </c>
      <c r="D16" t="s">
        <v>22</v>
      </c>
      <c r="E16" t="s">
        <v>22</v>
      </c>
      <c r="F16" t="s">
        <v>66</v>
      </c>
      <c r="G16" t="s">
        <v>49</v>
      </c>
      <c r="H16" t="s">
        <v>36</v>
      </c>
      <c r="I16" t="s">
        <v>90</v>
      </c>
      <c r="J16" t="s">
        <v>27</v>
      </c>
      <c r="K16" t="s">
        <v>91</v>
      </c>
      <c r="L16" t="s">
        <v>67</v>
      </c>
      <c r="M16">
        <v>2</v>
      </c>
      <c r="N16" s="3">
        <v>216.46</v>
      </c>
      <c r="O16" s="4">
        <v>0.1</v>
      </c>
      <c r="P16" s="3">
        <v>9.9499999999999993</v>
      </c>
      <c r="Q16" t="s">
        <v>30</v>
      </c>
      <c r="R16">
        <v>2</v>
      </c>
      <c r="S16" t="s">
        <v>68</v>
      </c>
    </row>
    <row r="17" spans="1:19">
      <c r="A17" t="s">
        <v>235</v>
      </c>
      <c r="B17" s="2">
        <v>46038</v>
      </c>
      <c r="C17" t="s">
        <v>43</v>
      </c>
      <c r="D17" t="s">
        <v>80</v>
      </c>
      <c r="E17" t="s">
        <v>80</v>
      </c>
      <c r="F17" t="s">
        <v>81</v>
      </c>
      <c r="G17" t="s">
        <v>44</v>
      </c>
      <c r="H17" t="s">
        <v>77</v>
      </c>
      <c r="I17" t="s">
        <v>111</v>
      </c>
      <c r="J17" t="s">
        <v>57</v>
      </c>
      <c r="K17" t="s">
        <v>112</v>
      </c>
      <c r="L17" t="s">
        <v>92</v>
      </c>
      <c r="M17">
        <v>5</v>
      </c>
      <c r="N17" s="3">
        <v>6.83</v>
      </c>
      <c r="O17" s="4">
        <v>0.1</v>
      </c>
      <c r="P17" s="3">
        <v>24.95</v>
      </c>
      <c r="Q17" t="s">
        <v>30</v>
      </c>
      <c r="R17">
        <v>5</v>
      </c>
      <c r="S17" t="s">
        <v>41</v>
      </c>
    </row>
    <row r="18" spans="1:19">
      <c r="A18" t="s">
        <v>322</v>
      </c>
      <c r="B18" s="2">
        <v>46038</v>
      </c>
      <c r="C18" t="s">
        <v>43</v>
      </c>
      <c r="D18" t="s">
        <v>34</v>
      </c>
      <c r="E18" t="s">
        <v>34</v>
      </c>
      <c r="F18" t="s">
        <v>105</v>
      </c>
      <c r="G18" t="s">
        <v>24</v>
      </c>
      <c r="H18" t="s">
        <v>50</v>
      </c>
      <c r="I18" t="s">
        <v>127</v>
      </c>
      <c r="J18" t="s">
        <v>57</v>
      </c>
      <c r="K18" t="s">
        <v>58</v>
      </c>
      <c r="L18" t="s">
        <v>59</v>
      </c>
      <c r="M18">
        <v>1</v>
      </c>
      <c r="N18" s="3">
        <v>5.6</v>
      </c>
      <c r="O18" s="4">
        <v>0.2</v>
      </c>
      <c r="P18" s="3">
        <v>0</v>
      </c>
      <c r="Q18" t="s">
        <v>30</v>
      </c>
      <c r="R18">
        <v>5</v>
      </c>
      <c r="S18" t="s">
        <v>68</v>
      </c>
    </row>
    <row r="19" spans="1:19">
      <c r="A19" t="s">
        <v>261</v>
      </c>
      <c r="B19" s="2">
        <v>46040</v>
      </c>
      <c r="C19" t="s">
        <v>43</v>
      </c>
      <c r="D19" t="s">
        <v>101</v>
      </c>
      <c r="E19" t="s">
        <v>101</v>
      </c>
      <c r="F19" t="s">
        <v>102</v>
      </c>
      <c r="G19" t="s">
        <v>49</v>
      </c>
      <c r="H19" t="s">
        <v>36</v>
      </c>
      <c r="I19" t="s">
        <v>45</v>
      </c>
      <c r="J19" t="s">
        <v>27</v>
      </c>
      <c r="K19" t="s">
        <v>28</v>
      </c>
      <c r="L19" t="s">
        <v>82</v>
      </c>
      <c r="M19">
        <v>5</v>
      </c>
      <c r="N19" s="3">
        <v>30.97</v>
      </c>
      <c r="O19" s="4">
        <v>0.05</v>
      </c>
      <c r="P19" s="3">
        <v>19.95</v>
      </c>
      <c r="Q19" t="s">
        <v>30</v>
      </c>
      <c r="R19">
        <v>2</v>
      </c>
      <c r="S19" t="s">
        <v>68</v>
      </c>
    </row>
    <row r="20" spans="1:19">
      <c r="A20" t="s">
        <v>307</v>
      </c>
      <c r="B20" s="2">
        <v>46040</v>
      </c>
      <c r="C20" t="s">
        <v>43</v>
      </c>
      <c r="D20" t="s">
        <v>75</v>
      </c>
      <c r="E20" t="s">
        <v>75</v>
      </c>
      <c r="F20" t="s">
        <v>84</v>
      </c>
      <c r="G20" t="s">
        <v>24</v>
      </c>
      <c r="H20" t="s">
        <v>50</v>
      </c>
      <c r="I20" t="s">
        <v>37</v>
      </c>
      <c r="J20" t="s">
        <v>38</v>
      </c>
      <c r="K20" t="s">
        <v>39</v>
      </c>
      <c r="L20" t="s">
        <v>29</v>
      </c>
      <c r="M20">
        <v>7</v>
      </c>
      <c r="N20" s="3">
        <v>6.47</v>
      </c>
      <c r="O20" s="4">
        <v>0.15</v>
      </c>
      <c r="P20" s="3">
        <v>24.95</v>
      </c>
      <c r="Q20" t="s">
        <v>30</v>
      </c>
      <c r="R20">
        <v>2</v>
      </c>
      <c r="S20" t="s">
        <v>41</v>
      </c>
    </row>
    <row r="21" spans="1:19">
      <c r="A21" t="s">
        <v>83</v>
      </c>
      <c r="B21" s="2">
        <v>46041</v>
      </c>
      <c r="C21" t="s">
        <v>43</v>
      </c>
      <c r="D21" t="s">
        <v>75</v>
      </c>
      <c r="E21" t="s">
        <v>75</v>
      </c>
      <c r="F21" t="s">
        <v>84</v>
      </c>
      <c r="G21" t="s">
        <v>24</v>
      </c>
      <c r="H21" t="s">
        <v>36</v>
      </c>
      <c r="I21" t="s">
        <v>78</v>
      </c>
      <c r="J21" t="s">
        <v>27</v>
      </c>
      <c r="K21" t="s">
        <v>28</v>
      </c>
      <c r="L21" t="s">
        <v>59</v>
      </c>
      <c r="M21">
        <v>3</v>
      </c>
      <c r="N21" s="3">
        <v>16.260000000000002</v>
      </c>
      <c r="O21" s="4">
        <v>0.05</v>
      </c>
      <c r="P21" s="3">
        <v>24.95</v>
      </c>
      <c r="Q21" t="s">
        <v>85</v>
      </c>
      <c r="R21">
        <v>3</v>
      </c>
      <c r="S21" t="s">
        <v>31</v>
      </c>
    </row>
    <row r="22" spans="1:19">
      <c r="A22" t="s">
        <v>219</v>
      </c>
      <c r="B22" s="2">
        <v>46041</v>
      </c>
      <c r="C22" t="s">
        <v>43</v>
      </c>
      <c r="D22" t="s">
        <v>22</v>
      </c>
      <c r="E22" t="s">
        <v>22</v>
      </c>
      <c r="F22" t="s">
        <v>66</v>
      </c>
      <c r="G22" t="s">
        <v>49</v>
      </c>
      <c r="H22" t="s">
        <v>50</v>
      </c>
      <c r="I22" t="s">
        <v>125</v>
      </c>
      <c r="J22" t="s">
        <v>38</v>
      </c>
      <c r="K22" t="s">
        <v>39</v>
      </c>
      <c r="L22" t="s">
        <v>67</v>
      </c>
      <c r="M22">
        <v>3</v>
      </c>
      <c r="N22" s="3">
        <v>19.54</v>
      </c>
      <c r="O22" s="4">
        <v>0.05</v>
      </c>
      <c r="P22" s="3">
        <v>0</v>
      </c>
      <c r="Q22" t="s">
        <v>30</v>
      </c>
      <c r="R22">
        <v>5</v>
      </c>
      <c r="S22" t="s">
        <v>41</v>
      </c>
    </row>
    <row r="23" spans="1:19">
      <c r="A23" t="s">
        <v>230</v>
      </c>
      <c r="B23" s="2">
        <v>46041</v>
      </c>
      <c r="C23" t="s">
        <v>43</v>
      </c>
      <c r="D23" t="s">
        <v>22</v>
      </c>
      <c r="E23" t="s">
        <v>22</v>
      </c>
      <c r="F23" t="s">
        <v>23</v>
      </c>
      <c r="G23" t="s">
        <v>24</v>
      </c>
      <c r="H23" t="s">
        <v>25</v>
      </c>
      <c r="I23" t="s">
        <v>61</v>
      </c>
      <c r="J23" t="s">
        <v>38</v>
      </c>
      <c r="K23" t="s">
        <v>62</v>
      </c>
      <c r="L23" t="s">
        <v>59</v>
      </c>
      <c r="M23">
        <v>3</v>
      </c>
      <c r="N23" s="3">
        <v>16.64</v>
      </c>
      <c r="O23" s="4">
        <v>0.05</v>
      </c>
      <c r="P23" s="3">
        <v>19.95</v>
      </c>
      <c r="Q23" t="s">
        <v>30</v>
      </c>
      <c r="R23">
        <v>4</v>
      </c>
      <c r="S23" t="s">
        <v>41</v>
      </c>
    </row>
    <row r="24" spans="1:19">
      <c r="A24" t="s">
        <v>256</v>
      </c>
      <c r="B24" s="2">
        <v>46041</v>
      </c>
      <c r="C24" t="s">
        <v>43</v>
      </c>
      <c r="D24" t="s">
        <v>80</v>
      </c>
      <c r="E24" t="s">
        <v>80</v>
      </c>
      <c r="F24" t="s">
        <v>133</v>
      </c>
      <c r="G24" t="s">
        <v>44</v>
      </c>
      <c r="H24" t="s">
        <v>25</v>
      </c>
      <c r="I24" t="s">
        <v>98</v>
      </c>
      <c r="J24" t="s">
        <v>52</v>
      </c>
      <c r="K24" t="s">
        <v>99</v>
      </c>
      <c r="L24" t="s">
        <v>29</v>
      </c>
      <c r="M24">
        <v>1</v>
      </c>
      <c r="N24" s="3">
        <v>141.68</v>
      </c>
      <c r="O24" s="4">
        <v>0.1</v>
      </c>
      <c r="P24" s="3">
        <v>14.95</v>
      </c>
      <c r="Q24" t="s">
        <v>30</v>
      </c>
      <c r="R24">
        <v>5</v>
      </c>
      <c r="S24" t="s">
        <v>31</v>
      </c>
    </row>
    <row r="25" spans="1:19">
      <c r="A25" t="s">
        <v>276</v>
      </c>
      <c r="B25" s="2">
        <v>46041</v>
      </c>
      <c r="C25" t="s">
        <v>43</v>
      </c>
      <c r="D25" t="s">
        <v>34</v>
      </c>
      <c r="E25" t="s">
        <v>34</v>
      </c>
      <c r="F25" t="s">
        <v>190</v>
      </c>
      <c r="G25" t="s">
        <v>44</v>
      </c>
      <c r="H25" t="s">
        <v>25</v>
      </c>
      <c r="I25" t="s">
        <v>45</v>
      </c>
      <c r="J25" t="s">
        <v>27</v>
      </c>
      <c r="K25" t="s">
        <v>28</v>
      </c>
      <c r="L25" t="s">
        <v>67</v>
      </c>
      <c r="M25">
        <v>3</v>
      </c>
      <c r="N25" s="3">
        <v>33.85</v>
      </c>
      <c r="O25" s="4">
        <v>0.05</v>
      </c>
      <c r="P25" s="3">
        <v>24.95</v>
      </c>
      <c r="Q25" t="s">
        <v>30</v>
      </c>
      <c r="R25">
        <v>3</v>
      </c>
      <c r="S25" t="s">
        <v>31</v>
      </c>
    </row>
    <row r="26" spans="1:19">
      <c r="A26" t="s">
        <v>134</v>
      </c>
      <c r="B26" s="2">
        <v>46042</v>
      </c>
      <c r="C26" t="s">
        <v>43</v>
      </c>
      <c r="D26" t="s">
        <v>80</v>
      </c>
      <c r="E26" t="s">
        <v>80</v>
      </c>
      <c r="F26" t="s">
        <v>123</v>
      </c>
      <c r="G26" t="s">
        <v>49</v>
      </c>
      <c r="H26" t="s">
        <v>25</v>
      </c>
      <c r="I26" t="s">
        <v>135</v>
      </c>
      <c r="J26" t="s">
        <v>57</v>
      </c>
      <c r="K26" t="s">
        <v>112</v>
      </c>
      <c r="L26" t="s">
        <v>40</v>
      </c>
      <c r="M26">
        <v>4</v>
      </c>
      <c r="N26" s="3">
        <v>3.72</v>
      </c>
      <c r="O26" s="4">
        <v>0</v>
      </c>
      <c r="P26" s="3">
        <v>24.95</v>
      </c>
      <c r="Q26" t="s">
        <v>30</v>
      </c>
      <c r="R26">
        <v>4</v>
      </c>
      <c r="S26" t="s">
        <v>63</v>
      </c>
    </row>
    <row r="27" spans="1:19">
      <c r="A27" t="s">
        <v>172</v>
      </c>
      <c r="B27" s="2">
        <v>46042</v>
      </c>
      <c r="C27" t="s">
        <v>43</v>
      </c>
      <c r="D27" t="s">
        <v>101</v>
      </c>
      <c r="E27" t="s">
        <v>101</v>
      </c>
      <c r="F27" t="s">
        <v>108</v>
      </c>
      <c r="G27" t="s">
        <v>49</v>
      </c>
      <c r="H27" t="s">
        <v>50</v>
      </c>
      <c r="I27" t="s">
        <v>127</v>
      </c>
      <c r="J27" t="s">
        <v>57</v>
      </c>
      <c r="K27" t="s">
        <v>58</v>
      </c>
      <c r="L27" t="s">
        <v>67</v>
      </c>
      <c r="M27">
        <v>1</v>
      </c>
      <c r="N27" s="3">
        <v>5.83</v>
      </c>
      <c r="O27" s="4">
        <v>0.2</v>
      </c>
      <c r="P27" s="3">
        <v>24.95</v>
      </c>
      <c r="Q27" t="s">
        <v>30</v>
      </c>
      <c r="R27">
        <v>5</v>
      </c>
      <c r="S27" t="s">
        <v>63</v>
      </c>
    </row>
    <row r="28" spans="1:19">
      <c r="A28" t="s">
        <v>216</v>
      </c>
      <c r="B28" s="2">
        <v>46042</v>
      </c>
      <c r="C28" t="s">
        <v>43</v>
      </c>
      <c r="D28" t="s">
        <v>34</v>
      </c>
      <c r="E28" t="s">
        <v>34</v>
      </c>
      <c r="F28" t="s">
        <v>48</v>
      </c>
      <c r="G28" t="s">
        <v>49</v>
      </c>
      <c r="H28" t="s">
        <v>36</v>
      </c>
      <c r="I28" t="s">
        <v>98</v>
      </c>
      <c r="J28" t="s">
        <v>52</v>
      </c>
      <c r="K28" t="s">
        <v>99</v>
      </c>
      <c r="L28" t="s">
        <v>82</v>
      </c>
      <c r="M28">
        <v>5</v>
      </c>
      <c r="N28" s="3">
        <v>128.85</v>
      </c>
      <c r="O28" s="4">
        <v>0.15</v>
      </c>
      <c r="P28" s="3">
        <v>5.95</v>
      </c>
      <c r="Q28" t="s">
        <v>85</v>
      </c>
      <c r="R28">
        <v>2</v>
      </c>
      <c r="S28" t="s">
        <v>31</v>
      </c>
    </row>
    <row r="29" spans="1:19">
      <c r="A29" t="s">
        <v>246</v>
      </c>
      <c r="B29" s="2">
        <v>46042</v>
      </c>
      <c r="C29" t="s">
        <v>43</v>
      </c>
      <c r="D29" t="s">
        <v>80</v>
      </c>
      <c r="E29" t="s">
        <v>80</v>
      </c>
      <c r="F29" t="s">
        <v>97</v>
      </c>
      <c r="G29" t="s">
        <v>24</v>
      </c>
      <c r="H29" t="s">
        <v>50</v>
      </c>
      <c r="I29" t="s">
        <v>78</v>
      </c>
      <c r="J29" t="s">
        <v>27</v>
      </c>
      <c r="K29" t="s">
        <v>28</v>
      </c>
      <c r="L29" t="s">
        <v>92</v>
      </c>
      <c r="M29">
        <v>8</v>
      </c>
      <c r="N29" s="3">
        <v>17.28</v>
      </c>
      <c r="O29" s="4">
        <v>0.2</v>
      </c>
      <c r="P29" s="3">
        <v>14.95</v>
      </c>
      <c r="Q29" t="s">
        <v>30</v>
      </c>
      <c r="R29">
        <v>4</v>
      </c>
      <c r="S29" t="s">
        <v>68</v>
      </c>
    </row>
    <row r="30" spans="1:19">
      <c r="A30" t="s">
        <v>266</v>
      </c>
      <c r="B30" s="2">
        <v>46042</v>
      </c>
      <c r="C30" t="s">
        <v>43</v>
      </c>
      <c r="D30" t="s">
        <v>34</v>
      </c>
      <c r="E30" t="s">
        <v>34</v>
      </c>
      <c r="F30" t="s">
        <v>190</v>
      </c>
      <c r="G30" t="s">
        <v>44</v>
      </c>
      <c r="H30" t="s">
        <v>77</v>
      </c>
      <c r="I30" t="s">
        <v>45</v>
      </c>
      <c r="J30" t="s">
        <v>27</v>
      </c>
      <c r="K30" t="s">
        <v>28</v>
      </c>
      <c r="L30" t="s">
        <v>67</v>
      </c>
      <c r="M30">
        <v>2</v>
      </c>
      <c r="N30" s="3">
        <v>33.590000000000003</v>
      </c>
      <c r="O30" s="4">
        <v>0.15</v>
      </c>
      <c r="P30" s="3">
        <v>24.95</v>
      </c>
      <c r="Q30" t="s">
        <v>30</v>
      </c>
      <c r="R30">
        <v>5</v>
      </c>
      <c r="S30" t="s">
        <v>41</v>
      </c>
    </row>
    <row r="31" spans="1:19">
      <c r="A31" t="s">
        <v>267</v>
      </c>
      <c r="B31" s="2">
        <v>46042</v>
      </c>
      <c r="C31" t="s">
        <v>43</v>
      </c>
      <c r="D31" t="s">
        <v>22</v>
      </c>
      <c r="E31" t="s">
        <v>22</v>
      </c>
      <c r="F31" t="s">
        <v>66</v>
      </c>
      <c r="G31" t="s">
        <v>44</v>
      </c>
      <c r="H31" t="s">
        <v>36</v>
      </c>
      <c r="I31" t="s">
        <v>153</v>
      </c>
      <c r="J31" t="s">
        <v>27</v>
      </c>
      <c r="K31" t="s">
        <v>154</v>
      </c>
      <c r="L31" t="s">
        <v>29</v>
      </c>
      <c r="M31">
        <v>2</v>
      </c>
      <c r="N31" s="3">
        <v>904.2</v>
      </c>
      <c r="O31" s="4">
        <v>0.05</v>
      </c>
      <c r="P31" s="3">
        <v>9.9499999999999993</v>
      </c>
      <c r="Q31" t="s">
        <v>30</v>
      </c>
      <c r="R31">
        <v>5</v>
      </c>
      <c r="S31" t="s">
        <v>41</v>
      </c>
    </row>
    <row r="32" spans="1:19">
      <c r="A32" t="s">
        <v>328</v>
      </c>
      <c r="B32" s="2">
        <v>46042</v>
      </c>
      <c r="C32" t="s">
        <v>43</v>
      </c>
      <c r="D32" t="s">
        <v>101</v>
      </c>
      <c r="E32" t="s">
        <v>101</v>
      </c>
      <c r="F32" t="s">
        <v>102</v>
      </c>
      <c r="G32" t="s">
        <v>44</v>
      </c>
      <c r="H32" t="s">
        <v>77</v>
      </c>
      <c r="I32" t="s">
        <v>90</v>
      </c>
      <c r="J32" t="s">
        <v>27</v>
      </c>
      <c r="K32" t="s">
        <v>91</v>
      </c>
      <c r="L32" t="s">
        <v>59</v>
      </c>
      <c r="M32">
        <v>4</v>
      </c>
      <c r="N32" s="3">
        <v>187.33</v>
      </c>
      <c r="O32" s="4">
        <v>0.1</v>
      </c>
      <c r="P32" s="3">
        <v>19.95</v>
      </c>
      <c r="Q32" t="s">
        <v>30</v>
      </c>
      <c r="R32">
        <v>3</v>
      </c>
      <c r="S32" t="s">
        <v>31</v>
      </c>
    </row>
    <row r="33" spans="1:19">
      <c r="A33" t="s">
        <v>140</v>
      </c>
      <c r="B33" s="2">
        <v>46044</v>
      </c>
      <c r="C33" t="s">
        <v>43</v>
      </c>
      <c r="D33" t="s">
        <v>80</v>
      </c>
      <c r="E33" t="s">
        <v>80</v>
      </c>
      <c r="F33" t="s">
        <v>123</v>
      </c>
      <c r="G33" t="s">
        <v>44</v>
      </c>
      <c r="H33" t="s">
        <v>25</v>
      </c>
      <c r="I33" t="s">
        <v>98</v>
      </c>
      <c r="J33" t="s">
        <v>52</v>
      </c>
      <c r="K33" t="s">
        <v>99</v>
      </c>
      <c r="L33" t="s">
        <v>67</v>
      </c>
      <c r="M33">
        <v>2</v>
      </c>
      <c r="N33" s="3">
        <v>130.18</v>
      </c>
      <c r="O33" s="4">
        <v>0</v>
      </c>
      <c r="P33" s="3">
        <v>14.95</v>
      </c>
      <c r="Q33" t="s">
        <v>30</v>
      </c>
      <c r="R33">
        <v>2</v>
      </c>
      <c r="S33" t="s">
        <v>41</v>
      </c>
    </row>
    <row r="34" spans="1:19">
      <c r="A34" t="s">
        <v>294</v>
      </c>
      <c r="B34" s="2">
        <v>46044</v>
      </c>
      <c r="C34" t="s">
        <v>43</v>
      </c>
      <c r="D34" t="s">
        <v>34</v>
      </c>
      <c r="E34" t="s">
        <v>34</v>
      </c>
      <c r="F34" t="s">
        <v>105</v>
      </c>
      <c r="G34" t="s">
        <v>44</v>
      </c>
      <c r="H34" t="s">
        <v>25</v>
      </c>
      <c r="I34" t="s">
        <v>78</v>
      </c>
      <c r="J34" t="s">
        <v>27</v>
      </c>
      <c r="K34" t="s">
        <v>28</v>
      </c>
      <c r="L34" t="s">
        <v>67</v>
      </c>
      <c r="M34">
        <v>2</v>
      </c>
      <c r="N34" s="3">
        <v>16.09</v>
      </c>
      <c r="O34" s="4">
        <v>0.05</v>
      </c>
      <c r="P34" s="3">
        <v>9.9499999999999993</v>
      </c>
      <c r="Q34" t="s">
        <v>30</v>
      </c>
      <c r="R34">
        <v>4</v>
      </c>
      <c r="S34" t="s">
        <v>68</v>
      </c>
    </row>
    <row r="35" spans="1:19">
      <c r="A35" t="s">
        <v>120</v>
      </c>
      <c r="B35" s="2">
        <v>46046</v>
      </c>
      <c r="C35" t="s">
        <v>43</v>
      </c>
      <c r="D35" t="s">
        <v>22</v>
      </c>
      <c r="E35" t="s">
        <v>22</v>
      </c>
      <c r="F35" t="s">
        <v>23</v>
      </c>
      <c r="G35" t="s">
        <v>24</v>
      </c>
      <c r="H35" t="s">
        <v>36</v>
      </c>
      <c r="I35" t="s">
        <v>78</v>
      </c>
      <c r="J35" t="s">
        <v>27</v>
      </c>
      <c r="K35" t="s">
        <v>28</v>
      </c>
      <c r="L35" t="s">
        <v>67</v>
      </c>
      <c r="M35">
        <v>6</v>
      </c>
      <c r="N35" s="3">
        <v>17.95</v>
      </c>
      <c r="O35" s="4">
        <v>0</v>
      </c>
      <c r="P35" s="3">
        <v>14.95</v>
      </c>
      <c r="Q35" t="s">
        <v>30</v>
      </c>
      <c r="R35">
        <v>3</v>
      </c>
      <c r="S35" t="s">
        <v>63</v>
      </c>
    </row>
    <row r="36" spans="1:19">
      <c r="A36" t="s">
        <v>247</v>
      </c>
      <c r="B36" s="2">
        <v>46046</v>
      </c>
      <c r="C36" t="s">
        <v>43</v>
      </c>
      <c r="D36" t="s">
        <v>34</v>
      </c>
      <c r="E36" t="s">
        <v>34</v>
      </c>
      <c r="F36" t="s">
        <v>190</v>
      </c>
      <c r="G36" t="s">
        <v>49</v>
      </c>
      <c r="H36" t="s">
        <v>36</v>
      </c>
      <c r="I36" t="s">
        <v>51</v>
      </c>
      <c r="J36" t="s">
        <v>52</v>
      </c>
      <c r="K36" t="s">
        <v>53</v>
      </c>
      <c r="L36" t="s">
        <v>46</v>
      </c>
      <c r="M36">
        <v>8</v>
      </c>
      <c r="N36" s="3">
        <v>98.39</v>
      </c>
      <c r="O36" s="4">
        <v>0</v>
      </c>
      <c r="P36" s="3">
        <v>34.950000000000003</v>
      </c>
      <c r="Q36" t="s">
        <v>30</v>
      </c>
      <c r="R36">
        <v>3</v>
      </c>
      <c r="S36" t="s">
        <v>68</v>
      </c>
    </row>
    <row r="37" spans="1:19">
      <c r="A37" t="s">
        <v>164</v>
      </c>
      <c r="B37" s="2">
        <v>46048</v>
      </c>
      <c r="C37" t="s">
        <v>43</v>
      </c>
      <c r="D37" t="s">
        <v>101</v>
      </c>
      <c r="E37" t="s">
        <v>101</v>
      </c>
      <c r="F37" t="s">
        <v>108</v>
      </c>
      <c r="G37" t="s">
        <v>44</v>
      </c>
      <c r="H37" t="s">
        <v>50</v>
      </c>
      <c r="I37" t="s">
        <v>26</v>
      </c>
      <c r="J37" t="s">
        <v>27</v>
      </c>
      <c r="K37" t="s">
        <v>28</v>
      </c>
      <c r="L37" t="s">
        <v>40</v>
      </c>
      <c r="M37">
        <v>3</v>
      </c>
      <c r="N37" s="3">
        <v>68.45</v>
      </c>
      <c r="O37" s="4">
        <v>0.05</v>
      </c>
      <c r="P37" s="3">
        <v>24.95</v>
      </c>
      <c r="Q37" t="s">
        <v>85</v>
      </c>
      <c r="R37">
        <v>1</v>
      </c>
      <c r="S37" t="s">
        <v>63</v>
      </c>
    </row>
    <row r="38" spans="1:19">
      <c r="A38" t="s">
        <v>166</v>
      </c>
      <c r="B38" s="2">
        <v>46048</v>
      </c>
      <c r="C38" t="s">
        <v>43</v>
      </c>
      <c r="D38" t="s">
        <v>75</v>
      </c>
      <c r="E38" t="s">
        <v>75</v>
      </c>
      <c r="F38" t="s">
        <v>76</v>
      </c>
      <c r="G38" t="s">
        <v>44</v>
      </c>
      <c r="H38" t="s">
        <v>50</v>
      </c>
      <c r="I38" t="s">
        <v>111</v>
      </c>
      <c r="J38" t="s">
        <v>57</v>
      </c>
      <c r="K38" t="s">
        <v>112</v>
      </c>
      <c r="L38" t="s">
        <v>40</v>
      </c>
      <c r="M38">
        <v>3</v>
      </c>
      <c r="N38" s="3">
        <v>6.97</v>
      </c>
      <c r="O38" s="4">
        <v>0.2</v>
      </c>
      <c r="P38" s="3">
        <v>0</v>
      </c>
      <c r="Q38" t="s">
        <v>30</v>
      </c>
      <c r="R38">
        <v>3</v>
      </c>
      <c r="S38" t="s">
        <v>63</v>
      </c>
    </row>
    <row r="39" spans="1:19">
      <c r="A39" t="s">
        <v>336</v>
      </c>
      <c r="B39" s="2">
        <v>46048</v>
      </c>
      <c r="C39" t="s">
        <v>43</v>
      </c>
      <c r="D39" t="s">
        <v>75</v>
      </c>
      <c r="E39" t="s">
        <v>75</v>
      </c>
      <c r="F39" t="s">
        <v>76</v>
      </c>
      <c r="G39" t="s">
        <v>49</v>
      </c>
      <c r="H39" t="s">
        <v>36</v>
      </c>
      <c r="I39" t="s">
        <v>26</v>
      </c>
      <c r="J39" t="s">
        <v>27</v>
      </c>
      <c r="K39" t="s">
        <v>28</v>
      </c>
      <c r="L39" t="s">
        <v>82</v>
      </c>
      <c r="M39">
        <v>6</v>
      </c>
      <c r="N39" s="3">
        <v>74.47</v>
      </c>
      <c r="O39" s="4">
        <v>0.2</v>
      </c>
      <c r="P39" s="3">
        <v>24.95</v>
      </c>
      <c r="Q39" t="s">
        <v>30</v>
      </c>
      <c r="R39">
        <v>2</v>
      </c>
      <c r="S39" t="s">
        <v>31</v>
      </c>
    </row>
    <row r="40" spans="1:19">
      <c r="A40" t="s">
        <v>42</v>
      </c>
      <c r="B40" s="2">
        <v>46049</v>
      </c>
      <c r="C40" t="s">
        <v>43</v>
      </c>
      <c r="D40" t="s">
        <v>22</v>
      </c>
      <c r="E40" t="s">
        <v>22</v>
      </c>
      <c r="F40" t="s">
        <v>23</v>
      </c>
      <c r="G40" t="s">
        <v>44</v>
      </c>
      <c r="H40" t="s">
        <v>25</v>
      </c>
      <c r="I40" t="s">
        <v>45</v>
      </c>
      <c r="J40" t="s">
        <v>27</v>
      </c>
      <c r="K40" t="s">
        <v>28</v>
      </c>
      <c r="L40" t="s">
        <v>46</v>
      </c>
      <c r="M40">
        <v>1</v>
      </c>
      <c r="N40" s="3">
        <v>33.909999999999997</v>
      </c>
      <c r="O40" s="4">
        <v>0.1</v>
      </c>
      <c r="P40" s="3">
        <v>0</v>
      </c>
      <c r="Q40" t="s">
        <v>30</v>
      </c>
      <c r="R40">
        <v>4</v>
      </c>
      <c r="S40" t="s">
        <v>41</v>
      </c>
    </row>
    <row r="41" spans="1:19">
      <c r="A41" t="s">
        <v>270</v>
      </c>
      <c r="B41" s="2">
        <v>46049</v>
      </c>
      <c r="C41" t="s">
        <v>43</v>
      </c>
      <c r="D41" t="s">
        <v>80</v>
      </c>
      <c r="E41" t="s">
        <v>80</v>
      </c>
      <c r="F41" t="s">
        <v>81</v>
      </c>
      <c r="G41" t="s">
        <v>24</v>
      </c>
      <c r="H41" t="s">
        <v>50</v>
      </c>
      <c r="I41" t="s">
        <v>139</v>
      </c>
      <c r="J41" t="s">
        <v>57</v>
      </c>
      <c r="K41" t="s">
        <v>99</v>
      </c>
      <c r="L41" t="s">
        <v>59</v>
      </c>
      <c r="M41">
        <v>1</v>
      </c>
      <c r="N41" s="3">
        <v>12.84</v>
      </c>
      <c r="O41" s="4">
        <v>0</v>
      </c>
      <c r="P41" s="3">
        <v>19.95</v>
      </c>
      <c r="Q41" t="s">
        <v>30</v>
      </c>
      <c r="R41">
        <v>5</v>
      </c>
      <c r="S41" t="s">
        <v>63</v>
      </c>
    </row>
    <row r="42" spans="1:19">
      <c r="A42" t="s">
        <v>296</v>
      </c>
      <c r="B42" s="2">
        <v>46049</v>
      </c>
      <c r="C42" t="s">
        <v>43</v>
      </c>
      <c r="D42" t="s">
        <v>80</v>
      </c>
      <c r="E42" t="s">
        <v>80</v>
      </c>
      <c r="F42" t="s">
        <v>133</v>
      </c>
      <c r="G42" t="s">
        <v>24</v>
      </c>
      <c r="H42" t="s">
        <v>25</v>
      </c>
      <c r="I42" t="s">
        <v>114</v>
      </c>
      <c r="J42" t="s">
        <v>52</v>
      </c>
      <c r="K42" t="s">
        <v>115</v>
      </c>
      <c r="L42" t="s">
        <v>54</v>
      </c>
      <c r="M42">
        <v>2</v>
      </c>
      <c r="N42" s="3">
        <v>270.70999999999998</v>
      </c>
      <c r="O42" s="4">
        <v>0.15</v>
      </c>
      <c r="P42" s="3">
        <v>5.95</v>
      </c>
      <c r="Q42" t="s">
        <v>30</v>
      </c>
      <c r="R42">
        <v>4</v>
      </c>
      <c r="S42" t="s">
        <v>63</v>
      </c>
    </row>
    <row r="43" spans="1:19">
      <c r="A43" t="s">
        <v>242</v>
      </c>
      <c r="B43" s="2">
        <v>46051</v>
      </c>
      <c r="C43" t="s">
        <v>43</v>
      </c>
      <c r="D43" t="s">
        <v>80</v>
      </c>
      <c r="E43" t="s">
        <v>80</v>
      </c>
      <c r="F43" t="s">
        <v>123</v>
      </c>
      <c r="G43" t="s">
        <v>44</v>
      </c>
      <c r="H43" t="s">
        <v>77</v>
      </c>
      <c r="I43" t="s">
        <v>37</v>
      </c>
      <c r="J43" t="s">
        <v>38</v>
      </c>
      <c r="K43" t="s">
        <v>39</v>
      </c>
      <c r="L43" t="s">
        <v>54</v>
      </c>
      <c r="M43">
        <v>2</v>
      </c>
      <c r="N43" s="3">
        <v>6.38</v>
      </c>
      <c r="O43" s="4">
        <v>0.1</v>
      </c>
      <c r="P43" s="3">
        <v>24.95</v>
      </c>
      <c r="Q43" t="s">
        <v>30</v>
      </c>
      <c r="R43">
        <v>5</v>
      </c>
      <c r="S43" t="s">
        <v>63</v>
      </c>
    </row>
    <row r="44" spans="1:19">
      <c r="A44" t="s">
        <v>218</v>
      </c>
      <c r="B44" s="2">
        <v>46052</v>
      </c>
      <c r="C44" t="s">
        <v>43</v>
      </c>
      <c r="D44" t="s">
        <v>34</v>
      </c>
      <c r="E44" t="s">
        <v>34</v>
      </c>
      <c r="F44" t="s">
        <v>35</v>
      </c>
      <c r="G44" t="s">
        <v>49</v>
      </c>
      <c r="H44" t="s">
        <v>36</v>
      </c>
      <c r="I44" t="s">
        <v>127</v>
      </c>
      <c r="J44" t="s">
        <v>57</v>
      </c>
      <c r="K44" t="s">
        <v>58</v>
      </c>
      <c r="L44" t="s">
        <v>29</v>
      </c>
      <c r="M44">
        <v>1</v>
      </c>
      <c r="N44" s="3">
        <v>5.36</v>
      </c>
      <c r="O44" s="4">
        <v>0.05</v>
      </c>
      <c r="P44" s="3">
        <v>19.95</v>
      </c>
      <c r="Q44" t="s">
        <v>30</v>
      </c>
      <c r="R44">
        <v>5</v>
      </c>
      <c r="S44" t="s">
        <v>41</v>
      </c>
    </row>
    <row r="45" spans="1:19">
      <c r="A45" t="s">
        <v>79</v>
      </c>
      <c r="B45" s="2">
        <v>46053</v>
      </c>
      <c r="C45" t="s">
        <v>43</v>
      </c>
      <c r="D45" t="s">
        <v>80</v>
      </c>
      <c r="E45" t="s">
        <v>80</v>
      </c>
      <c r="F45" t="s">
        <v>81</v>
      </c>
      <c r="G45" t="s">
        <v>24</v>
      </c>
      <c r="H45" t="s">
        <v>25</v>
      </c>
      <c r="I45" t="s">
        <v>56</v>
      </c>
      <c r="J45" t="s">
        <v>57</v>
      </c>
      <c r="K45" t="s">
        <v>58</v>
      </c>
      <c r="L45" t="s">
        <v>82</v>
      </c>
      <c r="M45">
        <v>2</v>
      </c>
      <c r="N45" s="3">
        <v>23.6</v>
      </c>
      <c r="O45" s="4">
        <v>0</v>
      </c>
      <c r="P45" s="3">
        <v>19.95</v>
      </c>
      <c r="Q45" t="s">
        <v>30</v>
      </c>
      <c r="R45">
        <v>4</v>
      </c>
      <c r="S45" t="s">
        <v>31</v>
      </c>
    </row>
    <row r="46" spans="1:19">
      <c r="A46" t="s">
        <v>147</v>
      </c>
      <c r="B46" s="2">
        <v>46053</v>
      </c>
      <c r="C46" t="s">
        <v>43</v>
      </c>
      <c r="D46" t="s">
        <v>22</v>
      </c>
      <c r="E46" t="s">
        <v>22</v>
      </c>
      <c r="F46" t="s">
        <v>66</v>
      </c>
      <c r="G46" t="s">
        <v>44</v>
      </c>
      <c r="H46" t="s">
        <v>36</v>
      </c>
      <c r="I46" t="s">
        <v>145</v>
      </c>
      <c r="J46" t="s">
        <v>52</v>
      </c>
      <c r="K46" t="s">
        <v>99</v>
      </c>
      <c r="L46" t="s">
        <v>46</v>
      </c>
      <c r="M46">
        <v>4</v>
      </c>
      <c r="N46" s="3">
        <v>80.61</v>
      </c>
      <c r="O46" s="4">
        <v>0.1</v>
      </c>
      <c r="P46" s="3">
        <v>19.95</v>
      </c>
      <c r="Q46" t="s">
        <v>30</v>
      </c>
      <c r="R46">
        <v>2</v>
      </c>
      <c r="S46" t="s">
        <v>68</v>
      </c>
    </row>
    <row r="47" spans="1:19">
      <c r="A47" t="s">
        <v>122</v>
      </c>
      <c r="B47" s="2">
        <v>46054</v>
      </c>
      <c r="C47" t="s">
        <v>74</v>
      </c>
      <c r="D47" t="s">
        <v>80</v>
      </c>
      <c r="E47" t="s">
        <v>80</v>
      </c>
      <c r="F47" t="s">
        <v>123</v>
      </c>
      <c r="G47" t="s">
        <v>49</v>
      </c>
      <c r="H47" t="s">
        <v>36</v>
      </c>
      <c r="I47" t="s">
        <v>37</v>
      </c>
      <c r="J47" t="s">
        <v>38</v>
      </c>
      <c r="K47" t="s">
        <v>39</v>
      </c>
      <c r="L47" t="s">
        <v>92</v>
      </c>
      <c r="M47">
        <v>3</v>
      </c>
      <c r="N47" s="3">
        <v>6.42</v>
      </c>
      <c r="O47" s="4">
        <v>0.1</v>
      </c>
      <c r="P47" s="3">
        <v>19.95</v>
      </c>
      <c r="Q47" t="s">
        <v>30</v>
      </c>
      <c r="R47">
        <v>2</v>
      </c>
      <c r="S47" t="s">
        <v>31</v>
      </c>
    </row>
    <row r="48" spans="1:19">
      <c r="A48" t="s">
        <v>73</v>
      </c>
      <c r="B48" s="2">
        <v>46055</v>
      </c>
      <c r="C48" t="s">
        <v>74</v>
      </c>
      <c r="D48" t="s">
        <v>75</v>
      </c>
      <c r="E48" t="s">
        <v>75</v>
      </c>
      <c r="F48" t="s">
        <v>76</v>
      </c>
      <c r="G48" t="s">
        <v>49</v>
      </c>
      <c r="H48" t="s">
        <v>77</v>
      </c>
      <c r="I48" t="s">
        <v>78</v>
      </c>
      <c r="J48" t="s">
        <v>27</v>
      </c>
      <c r="K48" t="s">
        <v>28</v>
      </c>
      <c r="L48" t="s">
        <v>46</v>
      </c>
      <c r="M48">
        <v>1</v>
      </c>
      <c r="N48" s="3">
        <v>16.899999999999999</v>
      </c>
      <c r="O48" s="4">
        <v>0</v>
      </c>
      <c r="P48" s="3">
        <v>19.95</v>
      </c>
      <c r="Q48" t="s">
        <v>30</v>
      </c>
      <c r="R48">
        <v>4</v>
      </c>
      <c r="S48" t="s">
        <v>63</v>
      </c>
    </row>
    <row r="49" spans="1:19">
      <c r="A49" t="s">
        <v>222</v>
      </c>
      <c r="B49" s="2">
        <v>46055</v>
      </c>
      <c r="C49" t="s">
        <v>74</v>
      </c>
      <c r="D49" t="s">
        <v>80</v>
      </c>
      <c r="E49" t="s">
        <v>80</v>
      </c>
      <c r="F49" t="s">
        <v>97</v>
      </c>
      <c r="G49" t="s">
        <v>24</v>
      </c>
      <c r="H49" t="s">
        <v>77</v>
      </c>
      <c r="I49" t="s">
        <v>78</v>
      </c>
      <c r="J49" t="s">
        <v>27</v>
      </c>
      <c r="K49" t="s">
        <v>28</v>
      </c>
      <c r="L49" t="s">
        <v>46</v>
      </c>
      <c r="M49">
        <v>7</v>
      </c>
      <c r="N49" s="3">
        <v>17.87</v>
      </c>
      <c r="O49" s="4">
        <v>0</v>
      </c>
      <c r="P49" s="3">
        <v>14.95</v>
      </c>
      <c r="Q49" t="s">
        <v>30</v>
      </c>
      <c r="R49">
        <v>3</v>
      </c>
      <c r="S49" t="s">
        <v>31</v>
      </c>
    </row>
    <row r="50" spans="1:19">
      <c r="A50" t="s">
        <v>290</v>
      </c>
      <c r="B50" s="2">
        <v>46055</v>
      </c>
      <c r="C50" t="s">
        <v>74</v>
      </c>
      <c r="D50" t="s">
        <v>75</v>
      </c>
      <c r="E50" t="s">
        <v>75</v>
      </c>
      <c r="F50" t="s">
        <v>76</v>
      </c>
      <c r="G50" t="s">
        <v>44</v>
      </c>
      <c r="H50" t="s">
        <v>77</v>
      </c>
      <c r="I50" t="s">
        <v>153</v>
      </c>
      <c r="J50" t="s">
        <v>27</v>
      </c>
      <c r="K50" t="s">
        <v>154</v>
      </c>
      <c r="L50" t="s">
        <v>46</v>
      </c>
      <c r="M50">
        <v>5</v>
      </c>
      <c r="N50" s="3">
        <v>680.87</v>
      </c>
      <c r="O50" s="4">
        <v>0</v>
      </c>
      <c r="P50" s="3">
        <v>5.95</v>
      </c>
      <c r="Q50" t="s">
        <v>30</v>
      </c>
      <c r="R50">
        <v>5</v>
      </c>
      <c r="S50" t="s">
        <v>63</v>
      </c>
    </row>
    <row r="51" spans="1:19">
      <c r="A51" t="s">
        <v>324</v>
      </c>
      <c r="B51" s="2">
        <v>46055</v>
      </c>
      <c r="C51" t="s">
        <v>74</v>
      </c>
      <c r="D51" t="s">
        <v>22</v>
      </c>
      <c r="E51" t="s">
        <v>22</v>
      </c>
      <c r="F51" t="s">
        <v>23</v>
      </c>
      <c r="G51" t="s">
        <v>24</v>
      </c>
      <c r="H51" t="s">
        <v>50</v>
      </c>
      <c r="I51" t="s">
        <v>135</v>
      </c>
      <c r="J51" t="s">
        <v>57</v>
      </c>
      <c r="K51" t="s">
        <v>112</v>
      </c>
      <c r="L51" t="s">
        <v>29</v>
      </c>
      <c r="M51">
        <v>1</v>
      </c>
      <c r="N51" s="3">
        <v>3.41</v>
      </c>
      <c r="O51" s="4">
        <v>0.1</v>
      </c>
      <c r="P51" s="3">
        <v>19.95</v>
      </c>
      <c r="Q51" t="s">
        <v>30</v>
      </c>
      <c r="R51">
        <v>3</v>
      </c>
      <c r="S51" t="s">
        <v>68</v>
      </c>
    </row>
    <row r="52" spans="1:19">
      <c r="A52" t="s">
        <v>221</v>
      </c>
      <c r="B52" s="2">
        <v>46056</v>
      </c>
      <c r="C52" t="s">
        <v>74</v>
      </c>
      <c r="D52" t="s">
        <v>101</v>
      </c>
      <c r="E52" t="s">
        <v>101</v>
      </c>
      <c r="F52" t="s">
        <v>110</v>
      </c>
      <c r="G52" t="s">
        <v>44</v>
      </c>
      <c r="H52" t="s">
        <v>25</v>
      </c>
      <c r="I52" t="s">
        <v>139</v>
      </c>
      <c r="J52" t="s">
        <v>57</v>
      </c>
      <c r="K52" t="s">
        <v>99</v>
      </c>
      <c r="L52" t="s">
        <v>54</v>
      </c>
      <c r="M52">
        <v>4</v>
      </c>
      <c r="N52" s="3">
        <v>12.45</v>
      </c>
      <c r="O52" s="4">
        <v>0</v>
      </c>
      <c r="P52" s="3">
        <v>24.95</v>
      </c>
      <c r="Q52" t="s">
        <v>30</v>
      </c>
      <c r="R52">
        <v>5</v>
      </c>
      <c r="S52" t="s">
        <v>41</v>
      </c>
    </row>
    <row r="53" spans="1:19">
      <c r="A53" t="s">
        <v>88</v>
      </c>
      <c r="B53" s="2">
        <v>46058</v>
      </c>
      <c r="C53" t="s">
        <v>74</v>
      </c>
      <c r="D53" t="s">
        <v>22</v>
      </c>
      <c r="E53" t="s">
        <v>22</v>
      </c>
      <c r="F53" t="s">
        <v>87</v>
      </c>
      <c r="G53" t="s">
        <v>24</v>
      </c>
      <c r="H53" t="s">
        <v>25</v>
      </c>
      <c r="I53" t="s">
        <v>51</v>
      </c>
      <c r="J53" t="s">
        <v>52</v>
      </c>
      <c r="K53" t="s">
        <v>53</v>
      </c>
      <c r="L53" t="s">
        <v>67</v>
      </c>
      <c r="M53">
        <v>3</v>
      </c>
      <c r="N53" s="3">
        <v>101.43</v>
      </c>
      <c r="O53" s="4">
        <v>0.2</v>
      </c>
      <c r="P53" s="3">
        <v>14.95</v>
      </c>
      <c r="Q53" t="s">
        <v>30</v>
      </c>
      <c r="R53">
        <v>4</v>
      </c>
      <c r="S53" t="s">
        <v>31</v>
      </c>
    </row>
    <row r="54" spans="1:19">
      <c r="A54" t="s">
        <v>126</v>
      </c>
      <c r="B54" s="2">
        <v>46058</v>
      </c>
      <c r="C54" t="s">
        <v>74</v>
      </c>
      <c r="D54" t="s">
        <v>22</v>
      </c>
      <c r="E54" t="s">
        <v>22</v>
      </c>
      <c r="F54" t="s">
        <v>94</v>
      </c>
      <c r="G54" t="s">
        <v>44</v>
      </c>
      <c r="H54" t="s">
        <v>36</v>
      </c>
      <c r="I54" t="s">
        <v>127</v>
      </c>
      <c r="J54" t="s">
        <v>57</v>
      </c>
      <c r="K54" t="s">
        <v>58</v>
      </c>
      <c r="L54" t="s">
        <v>59</v>
      </c>
      <c r="M54">
        <v>1</v>
      </c>
      <c r="N54" s="3">
        <v>5.48</v>
      </c>
      <c r="O54" s="4">
        <v>0</v>
      </c>
      <c r="P54" s="3">
        <v>5.95</v>
      </c>
      <c r="Q54" t="s">
        <v>30</v>
      </c>
      <c r="R54">
        <v>5</v>
      </c>
      <c r="S54" t="s">
        <v>68</v>
      </c>
    </row>
    <row r="55" spans="1:19">
      <c r="A55" t="s">
        <v>205</v>
      </c>
      <c r="B55" s="2">
        <v>46058</v>
      </c>
      <c r="C55" t="s">
        <v>74</v>
      </c>
      <c r="D55" t="s">
        <v>101</v>
      </c>
      <c r="E55" t="s">
        <v>101</v>
      </c>
      <c r="F55" t="s">
        <v>110</v>
      </c>
      <c r="G55" t="s">
        <v>44</v>
      </c>
      <c r="H55" t="s">
        <v>25</v>
      </c>
      <c r="I55" t="s">
        <v>90</v>
      </c>
      <c r="J55" t="s">
        <v>27</v>
      </c>
      <c r="K55" t="s">
        <v>91</v>
      </c>
      <c r="L55" t="s">
        <v>54</v>
      </c>
      <c r="M55">
        <v>7</v>
      </c>
      <c r="N55" s="3">
        <v>184.98</v>
      </c>
      <c r="O55" s="4">
        <v>0.05</v>
      </c>
      <c r="P55" s="3">
        <v>9.9499999999999993</v>
      </c>
      <c r="Q55" t="s">
        <v>30</v>
      </c>
      <c r="R55">
        <v>4</v>
      </c>
      <c r="S55" t="s">
        <v>41</v>
      </c>
    </row>
    <row r="56" spans="1:19">
      <c r="A56" t="s">
        <v>349</v>
      </c>
      <c r="B56" s="2">
        <v>46058</v>
      </c>
      <c r="C56" t="s">
        <v>74</v>
      </c>
      <c r="D56" t="s">
        <v>22</v>
      </c>
      <c r="E56" t="s">
        <v>22</v>
      </c>
      <c r="F56" t="s">
        <v>66</v>
      </c>
      <c r="G56" t="s">
        <v>24</v>
      </c>
      <c r="H56" t="s">
        <v>36</v>
      </c>
      <c r="I56" t="s">
        <v>111</v>
      </c>
      <c r="J56" t="s">
        <v>57</v>
      </c>
      <c r="K56" t="s">
        <v>112</v>
      </c>
      <c r="L56" t="s">
        <v>40</v>
      </c>
      <c r="M56">
        <v>12</v>
      </c>
      <c r="N56" s="3">
        <v>6.7</v>
      </c>
      <c r="O56" s="4">
        <v>0.4</v>
      </c>
      <c r="P56" s="3">
        <v>34.950000000000003</v>
      </c>
      <c r="Q56" t="s">
        <v>30</v>
      </c>
      <c r="R56">
        <v>4</v>
      </c>
      <c r="S56" t="s">
        <v>31</v>
      </c>
    </row>
    <row r="57" spans="1:19">
      <c r="A57" t="s">
        <v>187</v>
      </c>
      <c r="B57" s="2">
        <v>46059</v>
      </c>
      <c r="C57" t="s">
        <v>74</v>
      </c>
      <c r="D57" t="s">
        <v>80</v>
      </c>
      <c r="E57" t="s">
        <v>80</v>
      </c>
      <c r="F57" t="s">
        <v>123</v>
      </c>
      <c r="G57" t="s">
        <v>49</v>
      </c>
      <c r="H57" t="s">
        <v>77</v>
      </c>
      <c r="I57" t="s">
        <v>127</v>
      </c>
      <c r="J57" t="s">
        <v>57</v>
      </c>
      <c r="K57" t="s">
        <v>58</v>
      </c>
      <c r="L57" t="s">
        <v>59</v>
      </c>
      <c r="M57">
        <v>4</v>
      </c>
      <c r="N57" s="3">
        <v>5.49</v>
      </c>
      <c r="O57" s="4">
        <v>0</v>
      </c>
      <c r="P57" s="3">
        <v>24.95</v>
      </c>
      <c r="Q57" t="s">
        <v>85</v>
      </c>
      <c r="R57">
        <v>1</v>
      </c>
      <c r="S57" t="s">
        <v>63</v>
      </c>
    </row>
    <row r="58" spans="1:19">
      <c r="A58" t="s">
        <v>231</v>
      </c>
      <c r="B58" s="2">
        <v>46059</v>
      </c>
      <c r="C58" t="s">
        <v>74</v>
      </c>
      <c r="D58" t="s">
        <v>80</v>
      </c>
      <c r="E58" t="s">
        <v>80</v>
      </c>
      <c r="F58" t="s">
        <v>97</v>
      </c>
      <c r="G58" t="s">
        <v>44</v>
      </c>
      <c r="H58" t="s">
        <v>36</v>
      </c>
      <c r="I58" t="s">
        <v>127</v>
      </c>
      <c r="J58" t="s">
        <v>57</v>
      </c>
      <c r="K58" t="s">
        <v>58</v>
      </c>
      <c r="L58" t="s">
        <v>54</v>
      </c>
      <c r="M58">
        <v>2</v>
      </c>
      <c r="N58" s="3">
        <v>5.55</v>
      </c>
      <c r="O58" s="4">
        <v>0.05</v>
      </c>
      <c r="P58" s="3">
        <v>0</v>
      </c>
      <c r="Q58" t="s">
        <v>30</v>
      </c>
      <c r="R58">
        <v>5</v>
      </c>
      <c r="S58" t="s">
        <v>31</v>
      </c>
    </row>
    <row r="59" spans="1:19">
      <c r="A59" t="s">
        <v>234</v>
      </c>
      <c r="B59" s="2">
        <v>46060</v>
      </c>
      <c r="C59" t="s">
        <v>74</v>
      </c>
      <c r="D59" t="s">
        <v>80</v>
      </c>
      <c r="E59" t="s">
        <v>80</v>
      </c>
      <c r="F59" t="s">
        <v>81</v>
      </c>
      <c r="G59" t="s">
        <v>44</v>
      </c>
      <c r="H59" t="s">
        <v>77</v>
      </c>
      <c r="I59" t="s">
        <v>90</v>
      </c>
      <c r="J59" t="s">
        <v>27</v>
      </c>
      <c r="K59" t="s">
        <v>91</v>
      </c>
      <c r="L59" t="s">
        <v>59</v>
      </c>
      <c r="M59">
        <v>6</v>
      </c>
      <c r="N59" s="3">
        <v>194.21</v>
      </c>
      <c r="O59" s="4">
        <v>0.1</v>
      </c>
      <c r="P59" s="3">
        <v>14.95</v>
      </c>
      <c r="Q59" t="s">
        <v>30</v>
      </c>
      <c r="R59">
        <v>5</v>
      </c>
      <c r="S59" t="s">
        <v>31</v>
      </c>
    </row>
    <row r="60" spans="1:19">
      <c r="A60" t="s">
        <v>323</v>
      </c>
      <c r="B60" s="2">
        <v>46063</v>
      </c>
      <c r="C60" t="s">
        <v>74</v>
      </c>
      <c r="D60" t="s">
        <v>22</v>
      </c>
      <c r="E60" t="s">
        <v>22</v>
      </c>
      <c r="F60" t="s">
        <v>66</v>
      </c>
      <c r="G60" t="s">
        <v>49</v>
      </c>
      <c r="H60" t="s">
        <v>50</v>
      </c>
      <c r="I60" t="s">
        <v>127</v>
      </c>
      <c r="J60" t="s">
        <v>57</v>
      </c>
      <c r="K60" t="s">
        <v>58</v>
      </c>
      <c r="L60" t="s">
        <v>29</v>
      </c>
      <c r="M60">
        <v>5</v>
      </c>
      <c r="N60" s="3">
        <v>5.51</v>
      </c>
      <c r="O60" s="4">
        <v>0.1</v>
      </c>
      <c r="P60" s="3">
        <v>14.95</v>
      </c>
      <c r="Q60" t="s">
        <v>30</v>
      </c>
      <c r="R60">
        <v>4</v>
      </c>
      <c r="S60" t="s">
        <v>31</v>
      </c>
    </row>
    <row r="61" spans="1:19">
      <c r="A61" t="s">
        <v>232</v>
      </c>
      <c r="B61" s="2">
        <v>46064</v>
      </c>
      <c r="C61" t="s">
        <v>74</v>
      </c>
      <c r="D61" t="s">
        <v>75</v>
      </c>
      <c r="E61" t="s">
        <v>75</v>
      </c>
      <c r="F61" t="s">
        <v>84</v>
      </c>
      <c r="G61" t="s">
        <v>49</v>
      </c>
      <c r="H61" t="s">
        <v>50</v>
      </c>
      <c r="I61" t="s">
        <v>127</v>
      </c>
      <c r="J61" t="s">
        <v>57</v>
      </c>
      <c r="K61" t="s">
        <v>58</v>
      </c>
      <c r="L61" t="s">
        <v>92</v>
      </c>
      <c r="M61">
        <v>3</v>
      </c>
      <c r="N61" s="3">
        <v>5.62</v>
      </c>
      <c r="O61" s="4">
        <v>0.15</v>
      </c>
      <c r="P61" s="3">
        <v>19.95</v>
      </c>
      <c r="Q61" t="s">
        <v>30</v>
      </c>
      <c r="R61">
        <v>2</v>
      </c>
      <c r="S61" t="s">
        <v>68</v>
      </c>
    </row>
    <row r="62" spans="1:19">
      <c r="A62" t="s">
        <v>260</v>
      </c>
      <c r="B62" s="2">
        <v>46066</v>
      </c>
      <c r="C62" t="s">
        <v>74</v>
      </c>
      <c r="D62" t="s">
        <v>34</v>
      </c>
      <c r="E62" t="s">
        <v>34</v>
      </c>
      <c r="F62" t="s">
        <v>105</v>
      </c>
      <c r="G62" t="s">
        <v>24</v>
      </c>
      <c r="H62" t="s">
        <v>25</v>
      </c>
      <c r="I62" t="s">
        <v>90</v>
      </c>
      <c r="J62" t="s">
        <v>27</v>
      </c>
      <c r="K62" t="s">
        <v>91</v>
      </c>
      <c r="L62" t="s">
        <v>82</v>
      </c>
      <c r="M62">
        <v>1</v>
      </c>
      <c r="N62" s="3">
        <v>183.47</v>
      </c>
      <c r="O62" s="4">
        <v>0.2</v>
      </c>
      <c r="P62" s="3">
        <v>24.95</v>
      </c>
      <c r="Q62" t="s">
        <v>85</v>
      </c>
      <c r="R62">
        <v>1</v>
      </c>
      <c r="S62" t="s">
        <v>63</v>
      </c>
    </row>
    <row r="63" spans="1:19">
      <c r="A63" t="s">
        <v>316</v>
      </c>
      <c r="B63" s="2">
        <v>46066</v>
      </c>
      <c r="C63" t="s">
        <v>74</v>
      </c>
      <c r="D63" t="s">
        <v>75</v>
      </c>
      <c r="E63" t="s">
        <v>75</v>
      </c>
      <c r="F63" t="s">
        <v>149</v>
      </c>
      <c r="G63" t="s">
        <v>44</v>
      </c>
      <c r="H63" t="s">
        <v>77</v>
      </c>
      <c r="I63" t="s">
        <v>153</v>
      </c>
      <c r="J63" t="s">
        <v>27</v>
      </c>
      <c r="K63" t="s">
        <v>154</v>
      </c>
      <c r="L63" t="s">
        <v>54</v>
      </c>
      <c r="M63">
        <v>8</v>
      </c>
      <c r="N63" s="3">
        <v>820.19</v>
      </c>
      <c r="O63" s="4">
        <v>0.05</v>
      </c>
      <c r="P63" s="3">
        <v>34.950000000000003</v>
      </c>
      <c r="Q63" t="s">
        <v>30</v>
      </c>
      <c r="R63">
        <v>4</v>
      </c>
      <c r="S63" t="s">
        <v>41</v>
      </c>
    </row>
    <row r="64" spans="1:19">
      <c r="A64" t="s">
        <v>341</v>
      </c>
      <c r="B64" s="2">
        <v>46068</v>
      </c>
      <c r="C64" t="s">
        <v>74</v>
      </c>
      <c r="D64" t="s">
        <v>80</v>
      </c>
      <c r="E64" t="s">
        <v>80</v>
      </c>
      <c r="F64" t="s">
        <v>81</v>
      </c>
      <c r="G64" t="s">
        <v>44</v>
      </c>
      <c r="H64" t="s">
        <v>25</v>
      </c>
      <c r="I64" t="s">
        <v>114</v>
      </c>
      <c r="J64" t="s">
        <v>52</v>
      </c>
      <c r="K64" t="s">
        <v>115</v>
      </c>
      <c r="L64" t="s">
        <v>59</v>
      </c>
      <c r="M64">
        <v>10</v>
      </c>
      <c r="N64" s="3">
        <v>285.66000000000003</v>
      </c>
      <c r="O64" s="4">
        <v>0</v>
      </c>
      <c r="P64" s="3">
        <v>24.95</v>
      </c>
      <c r="Q64" t="s">
        <v>30</v>
      </c>
      <c r="R64">
        <v>4</v>
      </c>
      <c r="S64" t="s">
        <v>68</v>
      </c>
    </row>
    <row r="65" spans="1:20">
      <c r="A65" t="s">
        <v>268</v>
      </c>
      <c r="B65" s="2">
        <v>46070</v>
      </c>
      <c r="C65" t="s">
        <v>74</v>
      </c>
      <c r="D65" t="s">
        <v>75</v>
      </c>
      <c r="E65" t="s">
        <v>75</v>
      </c>
      <c r="F65" t="s">
        <v>84</v>
      </c>
      <c r="G65" t="s">
        <v>49</v>
      </c>
      <c r="H65" t="s">
        <v>25</v>
      </c>
      <c r="I65" t="s">
        <v>61</v>
      </c>
      <c r="J65" t="s">
        <v>38</v>
      </c>
      <c r="K65" t="s">
        <v>62</v>
      </c>
      <c r="L65" t="s">
        <v>67</v>
      </c>
      <c r="M65">
        <v>5</v>
      </c>
      <c r="N65" s="3">
        <v>17.07</v>
      </c>
      <c r="O65" s="4">
        <v>0</v>
      </c>
      <c r="P65" s="3">
        <v>19.95</v>
      </c>
      <c r="Q65" t="s">
        <v>30</v>
      </c>
      <c r="R65">
        <v>4</v>
      </c>
      <c r="S65" t="s">
        <v>41</v>
      </c>
    </row>
    <row r="66" spans="1:20">
      <c r="A66" t="s">
        <v>160</v>
      </c>
      <c r="B66" s="2">
        <v>46071</v>
      </c>
      <c r="C66" t="s">
        <v>74</v>
      </c>
      <c r="D66" t="s">
        <v>80</v>
      </c>
      <c r="E66" t="s">
        <v>80</v>
      </c>
      <c r="F66" t="s">
        <v>81</v>
      </c>
      <c r="G66" t="s">
        <v>44</v>
      </c>
      <c r="H66" t="s">
        <v>50</v>
      </c>
      <c r="I66" t="s">
        <v>139</v>
      </c>
      <c r="J66" t="s">
        <v>57</v>
      </c>
      <c r="K66" t="s">
        <v>99</v>
      </c>
      <c r="L66" t="s">
        <v>82</v>
      </c>
      <c r="M66">
        <v>8</v>
      </c>
      <c r="N66" s="3">
        <v>13.06</v>
      </c>
      <c r="O66" s="4">
        <v>0.2</v>
      </c>
      <c r="P66" s="3">
        <v>9.9499999999999993</v>
      </c>
      <c r="Q66" t="s">
        <v>30</v>
      </c>
      <c r="R66">
        <v>5</v>
      </c>
      <c r="S66" t="s">
        <v>41</v>
      </c>
    </row>
    <row r="67" spans="1:20">
      <c r="A67" t="s">
        <v>251</v>
      </c>
      <c r="B67" s="2">
        <v>46071</v>
      </c>
      <c r="C67" t="s">
        <v>74</v>
      </c>
      <c r="D67" t="s">
        <v>80</v>
      </c>
      <c r="E67" t="s">
        <v>80</v>
      </c>
      <c r="F67" t="s">
        <v>97</v>
      </c>
      <c r="G67" t="s">
        <v>24</v>
      </c>
      <c r="H67" t="s">
        <v>77</v>
      </c>
      <c r="I67" t="s">
        <v>139</v>
      </c>
      <c r="J67" t="s">
        <v>57</v>
      </c>
      <c r="K67" t="s">
        <v>99</v>
      </c>
      <c r="L67" t="s">
        <v>67</v>
      </c>
      <c r="M67">
        <v>9</v>
      </c>
      <c r="N67" s="3">
        <v>13.37</v>
      </c>
      <c r="O67" s="4">
        <v>0</v>
      </c>
      <c r="P67" s="3">
        <v>34.950000000000003</v>
      </c>
      <c r="Q67" t="s">
        <v>30</v>
      </c>
      <c r="R67">
        <v>3</v>
      </c>
      <c r="S67" t="s">
        <v>68</v>
      </c>
    </row>
    <row r="68" spans="1:20">
      <c r="A68" t="s">
        <v>329</v>
      </c>
      <c r="B68" s="2">
        <v>46071</v>
      </c>
      <c r="C68" t="s">
        <v>74</v>
      </c>
      <c r="D68" t="s">
        <v>22</v>
      </c>
      <c r="E68" t="s">
        <v>22</v>
      </c>
      <c r="F68" t="s">
        <v>66</v>
      </c>
      <c r="G68" t="s">
        <v>24</v>
      </c>
      <c r="H68" t="s">
        <v>25</v>
      </c>
      <c r="I68" t="s">
        <v>153</v>
      </c>
      <c r="J68" t="s">
        <v>27</v>
      </c>
      <c r="K68" t="s">
        <v>154</v>
      </c>
      <c r="L68" t="s">
        <v>59</v>
      </c>
      <c r="M68">
        <v>3</v>
      </c>
      <c r="N68" s="3">
        <v>872.76</v>
      </c>
      <c r="O68" s="4">
        <v>0.05</v>
      </c>
      <c r="P68" s="3">
        <v>24.95</v>
      </c>
      <c r="Q68" t="s">
        <v>30</v>
      </c>
      <c r="R68">
        <v>4</v>
      </c>
      <c r="S68" t="s">
        <v>63</v>
      </c>
    </row>
    <row r="69" spans="1:20">
      <c r="A69" t="s">
        <v>121</v>
      </c>
      <c r="B69" s="2">
        <v>46072</v>
      </c>
      <c r="C69" t="s">
        <v>74</v>
      </c>
      <c r="D69" t="s">
        <v>101</v>
      </c>
      <c r="E69" t="s">
        <v>101</v>
      </c>
      <c r="F69" t="s">
        <v>110</v>
      </c>
      <c r="G69" t="s">
        <v>24</v>
      </c>
      <c r="H69" t="s">
        <v>36</v>
      </c>
      <c r="I69" t="s">
        <v>111</v>
      </c>
      <c r="J69" t="s">
        <v>57</v>
      </c>
      <c r="K69" t="s">
        <v>112</v>
      </c>
      <c r="L69" t="s">
        <v>29</v>
      </c>
      <c r="M69">
        <v>5</v>
      </c>
      <c r="N69" s="3">
        <v>6.73</v>
      </c>
      <c r="O69" s="4">
        <v>0.05</v>
      </c>
      <c r="P69" s="3">
        <v>5.95</v>
      </c>
      <c r="Q69" t="s">
        <v>30</v>
      </c>
      <c r="R69">
        <v>3</v>
      </c>
      <c r="S69" t="s">
        <v>31</v>
      </c>
    </row>
    <row r="70" spans="1:20">
      <c r="A70" t="s">
        <v>275</v>
      </c>
      <c r="B70" s="2">
        <v>46076</v>
      </c>
      <c r="C70" t="s">
        <v>74</v>
      </c>
      <c r="D70" t="s">
        <v>22</v>
      </c>
      <c r="E70" t="s">
        <v>22</v>
      </c>
      <c r="F70" t="s">
        <v>87</v>
      </c>
      <c r="G70" t="s">
        <v>49</v>
      </c>
      <c r="H70" t="s">
        <v>50</v>
      </c>
      <c r="I70" t="s">
        <v>61</v>
      </c>
      <c r="J70" t="s">
        <v>38</v>
      </c>
      <c r="K70" t="s">
        <v>62</v>
      </c>
      <c r="L70" t="s">
        <v>29</v>
      </c>
      <c r="M70">
        <v>3</v>
      </c>
      <c r="N70" s="3">
        <v>16.309999999999999</v>
      </c>
      <c r="O70" s="4">
        <v>0.1</v>
      </c>
      <c r="P70" s="3">
        <v>14.95</v>
      </c>
      <c r="Q70" t="s">
        <v>30</v>
      </c>
      <c r="R70">
        <v>4</v>
      </c>
      <c r="S70" t="s">
        <v>41</v>
      </c>
    </row>
    <row r="71" spans="1:20">
      <c r="A71" t="s">
        <v>89</v>
      </c>
      <c r="B71" s="2">
        <v>46077</v>
      </c>
      <c r="C71" t="s">
        <v>74</v>
      </c>
      <c r="D71" t="s">
        <v>80</v>
      </c>
      <c r="E71" t="s">
        <v>80</v>
      </c>
      <c r="F71" t="s">
        <v>81</v>
      </c>
      <c r="G71" t="s">
        <v>44</v>
      </c>
      <c r="H71" t="s">
        <v>36</v>
      </c>
      <c r="I71" t="s">
        <v>90</v>
      </c>
      <c r="J71" t="s">
        <v>27</v>
      </c>
      <c r="K71" t="s">
        <v>91</v>
      </c>
      <c r="L71" t="s">
        <v>92</v>
      </c>
      <c r="M71">
        <v>7</v>
      </c>
      <c r="N71" s="3">
        <v>191.07</v>
      </c>
      <c r="O71" s="4">
        <v>0</v>
      </c>
      <c r="P71" s="3">
        <v>34.950000000000003</v>
      </c>
      <c r="Q71" t="s">
        <v>30</v>
      </c>
      <c r="R71">
        <v>2</v>
      </c>
      <c r="S71" t="s">
        <v>31</v>
      </c>
    </row>
    <row r="72" spans="1:20">
      <c r="A72" t="s">
        <v>334</v>
      </c>
      <c r="B72" s="2">
        <v>46077</v>
      </c>
      <c r="C72" t="s">
        <v>74</v>
      </c>
      <c r="D72" t="s">
        <v>22</v>
      </c>
      <c r="E72" t="s">
        <v>22</v>
      </c>
      <c r="F72" t="s">
        <v>66</v>
      </c>
      <c r="G72" t="s">
        <v>49</v>
      </c>
      <c r="H72" t="s">
        <v>50</v>
      </c>
      <c r="I72" t="s">
        <v>139</v>
      </c>
      <c r="J72" t="s">
        <v>57</v>
      </c>
      <c r="K72" t="s">
        <v>99</v>
      </c>
      <c r="L72" t="s">
        <v>40</v>
      </c>
      <c r="M72">
        <v>6</v>
      </c>
      <c r="N72" s="3">
        <v>12.51</v>
      </c>
      <c r="O72" s="4">
        <v>0.05</v>
      </c>
      <c r="P72" s="3">
        <v>34.950000000000003</v>
      </c>
      <c r="Q72" t="s">
        <v>30</v>
      </c>
      <c r="R72">
        <v>4</v>
      </c>
      <c r="S72" t="s">
        <v>68</v>
      </c>
    </row>
    <row r="73" spans="1:20">
      <c r="A73" t="s">
        <v>248</v>
      </c>
      <c r="B73" s="2">
        <v>46078</v>
      </c>
      <c r="C73" t="s">
        <v>74</v>
      </c>
      <c r="D73" t="s">
        <v>22</v>
      </c>
      <c r="E73" t="s">
        <v>22</v>
      </c>
      <c r="F73" t="s">
        <v>94</v>
      </c>
      <c r="G73" t="s">
        <v>24</v>
      </c>
      <c r="H73" t="s">
        <v>36</v>
      </c>
      <c r="I73" t="s">
        <v>135</v>
      </c>
      <c r="J73" t="s">
        <v>57</v>
      </c>
      <c r="K73" t="s">
        <v>112</v>
      </c>
      <c r="L73" t="s">
        <v>82</v>
      </c>
      <c r="M73">
        <v>4</v>
      </c>
      <c r="N73" s="3">
        <v>3.43</v>
      </c>
      <c r="O73" s="4">
        <v>0</v>
      </c>
      <c r="P73" s="3">
        <v>0</v>
      </c>
      <c r="Q73" t="s">
        <v>30</v>
      </c>
      <c r="R73">
        <v>3</v>
      </c>
      <c r="S73" t="s">
        <v>41</v>
      </c>
    </row>
    <row r="74" spans="1:20">
      <c r="A74" t="s">
        <v>286</v>
      </c>
      <c r="B74" s="2">
        <v>46079</v>
      </c>
      <c r="C74" t="s">
        <v>74</v>
      </c>
      <c r="D74" t="s">
        <v>22</v>
      </c>
      <c r="E74" t="s">
        <v>22</v>
      </c>
      <c r="F74" t="s">
        <v>94</v>
      </c>
      <c r="G74" t="s">
        <v>49</v>
      </c>
      <c r="H74" t="s">
        <v>25</v>
      </c>
      <c r="I74" t="s">
        <v>125</v>
      </c>
      <c r="J74" t="s">
        <v>38</v>
      </c>
      <c r="K74" t="s">
        <v>39</v>
      </c>
      <c r="L74" t="s">
        <v>67</v>
      </c>
      <c r="M74">
        <v>2</v>
      </c>
      <c r="N74" s="3">
        <v>18.16</v>
      </c>
      <c r="O74" s="4">
        <v>0.05</v>
      </c>
      <c r="P74" s="3">
        <v>5.95</v>
      </c>
      <c r="Q74" t="s">
        <v>30</v>
      </c>
      <c r="R74">
        <v>2</v>
      </c>
      <c r="S74" t="s">
        <v>41</v>
      </c>
      <c r="T74" t="s">
        <v>162</v>
      </c>
    </row>
    <row r="75" spans="1:20">
      <c r="A75" t="s">
        <v>320</v>
      </c>
      <c r="B75" s="2">
        <v>46079</v>
      </c>
      <c r="C75" t="s">
        <v>74</v>
      </c>
      <c r="D75" t="s">
        <v>80</v>
      </c>
      <c r="E75" t="s">
        <v>80</v>
      </c>
      <c r="F75" t="s">
        <v>133</v>
      </c>
      <c r="G75" t="s">
        <v>49</v>
      </c>
      <c r="H75" t="s">
        <v>50</v>
      </c>
      <c r="I75" t="s">
        <v>98</v>
      </c>
      <c r="J75" t="s">
        <v>52</v>
      </c>
      <c r="K75" t="s">
        <v>99</v>
      </c>
      <c r="L75" t="s">
        <v>82</v>
      </c>
      <c r="M75">
        <v>4</v>
      </c>
      <c r="N75" s="3">
        <v>134.22999999999999</v>
      </c>
      <c r="O75" s="4">
        <v>0.3</v>
      </c>
      <c r="P75" s="3">
        <v>5.95</v>
      </c>
      <c r="Q75" t="s">
        <v>30</v>
      </c>
      <c r="R75">
        <v>5</v>
      </c>
      <c r="S75" t="s">
        <v>41</v>
      </c>
    </row>
    <row r="76" spans="1:20">
      <c r="A76" t="s">
        <v>342</v>
      </c>
      <c r="B76" s="2">
        <v>46079</v>
      </c>
      <c r="C76" t="s">
        <v>74</v>
      </c>
      <c r="D76" t="s">
        <v>101</v>
      </c>
      <c r="E76" t="s">
        <v>101</v>
      </c>
      <c r="F76" t="s">
        <v>102</v>
      </c>
      <c r="G76" t="s">
        <v>44</v>
      </c>
      <c r="H76" t="s">
        <v>77</v>
      </c>
      <c r="I76" t="s">
        <v>90</v>
      </c>
      <c r="J76" t="s">
        <v>27</v>
      </c>
      <c r="K76" t="s">
        <v>91</v>
      </c>
      <c r="L76" t="s">
        <v>54</v>
      </c>
      <c r="M76">
        <v>4</v>
      </c>
      <c r="N76" s="3">
        <v>190.82</v>
      </c>
      <c r="O76" s="4">
        <v>0.05</v>
      </c>
      <c r="P76" s="3">
        <v>0</v>
      </c>
      <c r="Q76" t="s">
        <v>30</v>
      </c>
      <c r="R76">
        <v>3</v>
      </c>
      <c r="S76" t="s">
        <v>68</v>
      </c>
    </row>
    <row r="77" spans="1:20">
      <c r="A77" t="s">
        <v>207</v>
      </c>
      <c r="B77" s="2">
        <v>46080</v>
      </c>
      <c r="C77" t="s">
        <v>74</v>
      </c>
      <c r="D77" t="s">
        <v>75</v>
      </c>
      <c r="E77" t="s">
        <v>75</v>
      </c>
      <c r="F77" t="s">
        <v>84</v>
      </c>
      <c r="G77" t="s">
        <v>24</v>
      </c>
      <c r="H77" t="s">
        <v>25</v>
      </c>
      <c r="I77" t="s">
        <v>135</v>
      </c>
      <c r="J77" t="s">
        <v>57</v>
      </c>
      <c r="K77" t="s">
        <v>112</v>
      </c>
      <c r="L77" t="s">
        <v>46</v>
      </c>
      <c r="M77">
        <v>1</v>
      </c>
      <c r="N77" s="3">
        <v>3.76</v>
      </c>
      <c r="O77" s="4">
        <v>0.15</v>
      </c>
      <c r="P77" s="3">
        <v>24.95</v>
      </c>
      <c r="Q77" t="s">
        <v>30</v>
      </c>
      <c r="R77">
        <v>4</v>
      </c>
      <c r="S77" t="s">
        <v>63</v>
      </c>
    </row>
    <row r="78" spans="1:20">
      <c r="A78" t="s">
        <v>306</v>
      </c>
      <c r="B78" s="2">
        <v>46080</v>
      </c>
      <c r="C78" t="s">
        <v>74</v>
      </c>
      <c r="D78" t="s">
        <v>80</v>
      </c>
      <c r="E78" t="s">
        <v>80</v>
      </c>
      <c r="F78" t="s">
        <v>81</v>
      </c>
      <c r="G78" t="s">
        <v>49</v>
      </c>
      <c r="H78" t="s">
        <v>25</v>
      </c>
      <c r="I78" t="s">
        <v>153</v>
      </c>
      <c r="J78" t="s">
        <v>27</v>
      </c>
      <c r="K78" t="s">
        <v>154</v>
      </c>
      <c r="L78" t="s">
        <v>54</v>
      </c>
      <c r="M78">
        <v>2</v>
      </c>
      <c r="N78" s="3">
        <v>817.48</v>
      </c>
      <c r="O78" s="4">
        <v>0</v>
      </c>
      <c r="P78" s="3">
        <v>0</v>
      </c>
      <c r="Q78" t="s">
        <v>30</v>
      </c>
      <c r="R78">
        <v>4</v>
      </c>
      <c r="S78" t="s">
        <v>31</v>
      </c>
    </row>
    <row r="79" spans="1:20">
      <c r="A79" t="s">
        <v>332</v>
      </c>
      <c r="B79" s="2">
        <v>46080</v>
      </c>
      <c r="C79" t="s">
        <v>74</v>
      </c>
      <c r="D79" t="s">
        <v>80</v>
      </c>
      <c r="E79" t="s">
        <v>80</v>
      </c>
      <c r="F79" t="s">
        <v>97</v>
      </c>
      <c r="G79" t="s">
        <v>49</v>
      </c>
      <c r="H79" t="s">
        <v>36</v>
      </c>
      <c r="I79" t="s">
        <v>98</v>
      </c>
      <c r="J79" t="s">
        <v>52</v>
      </c>
      <c r="K79" t="s">
        <v>99</v>
      </c>
      <c r="L79" t="s">
        <v>29</v>
      </c>
      <c r="M79">
        <v>6</v>
      </c>
      <c r="N79" s="3">
        <v>119.91</v>
      </c>
      <c r="O79" s="4">
        <v>0.1</v>
      </c>
      <c r="P79" s="3">
        <v>9.9499999999999993</v>
      </c>
      <c r="Q79" t="s">
        <v>30</v>
      </c>
      <c r="R79">
        <v>5</v>
      </c>
      <c r="S79" t="s">
        <v>68</v>
      </c>
    </row>
    <row r="80" spans="1:20">
      <c r="A80" t="s">
        <v>179</v>
      </c>
      <c r="B80" s="2">
        <v>46082</v>
      </c>
      <c r="C80" t="s">
        <v>21</v>
      </c>
      <c r="D80" t="s">
        <v>22</v>
      </c>
      <c r="E80" t="s">
        <v>22</v>
      </c>
      <c r="F80" t="s">
        <v>66</v>
      </c>
      <c r="G80" t="s">
        <v>24</v>
      </c>
      <c r="H80" t="s">
        <v>50</v>
      </c>
      <c r="I80" t="s">
        <v>61</v>
      </c>
      <c r="J80" t="s">
        <v>38</v>
      </c>
      <c r="K80" t="s">
        <v>62</v>
      </c>
      <c r="L80" t="s">
        <v>54</v>
      </c>
      <c r="M80">
        <v>2</v>
      </c>
      <c r="N80" s="3">
        <v>16.02</v>
      </c>
      <c r="O80" s="4">
        <v>0.2</v>
      </c>
      <c r="P80" s="3">
        <v>0</v>
      </c>
      <c r="Q80" t="s">
        <v>30</v>
      </c>
      <c r="R80">
        <v>4</v>
      </c>
      <c r="S80" t="s">
        <v>68</v>
      </c>
    </row>
    <row r="81" spans="1:19">
      <c r="A81" t="s">
        <v>180</v>
      </c>
      <c r="B81" s="2">
        <v>46083</v>
      </c>
      <c r="C81" t="s">
        <v>21</v>
      </c>
      <c r="D81" t="s">
        <v>22</v>
      </c>
      <c r="E81" t="s">
        <v>22</v>
      </c>
      <c r="F81" t="s">
        <v>23</v>
      </c>
      <c r="G81" t="s">
        <v>44</v>
      </c>
      <c r="H81" t="s">
        <v>36</v>
      </c>
      <c r="I81" t="s">
        <v>174</v>
      </c>
      <c r="J81" t="s">
        <v>27</v>
      </c>
      <c r="K81" t="s">
        <v>154</v>
      </c>
      <c r="L81" t="s">
        <v>40</v>
      </c>
      <c r="M81">
        <v>4</v>
      </c>
      <c r="N81" s="3">
        <v>963.23</v>
      </c>
      <c r="O81" s="4">
        <v>0</v>
      </c>
      <c r="P81" s="3">
        <v>14.95</v>
      </c>
      <c r="Q81" t="s">
        <v>30</v>
      </c>
      <c r="R81">
        <v>4</v>
      </c>
      <c r="S81" t="s">
        <v>68</v>
      </c>
    </row>
    <row r="82" spans="1:19">
      <c r="A82" t="s">
        <v>311</v>
      </c>
      <c r="B82" s="2">
        <v>46083</v>
      </c>
      <c r="C82" t="s">
        <v>21</v>
      </c>
      <c r="D82" t="s">
        <v>34</v>
      </c>
      <c r="E82" t="s">
        <v>34</v>
      </c>
      <c r="F82" t="s">
        <v>35</v>
      </c>
      <c r="G82" t="s">
        <v>44</v>
      </c>
      <c r="H82" t="s">
        <v>36</v>
      </c>
      <c r="I82" t="s">
        <v>111</v>
      </c>
      <c r="J82" t="s">
        <v>57</v>
      </c>
      <c r="K82" t="s">
        <v>112</v>
      </c>
      <c r="L82" t="s">
        <v>46</v>
      </c>
      <c r="M82">
        <v>2</v>
      </c>
      <c r="N82" s="3">
        <v>7.09</v>
      </c>
      <c r="O82" s="4">
        <v>0.2</v>
      </c>
      <c r="P82" s="3">
        <v>14.95</v>
      </c>
      <c r="Q82" t="s">
        <v>30</v>
      </c>
      <c r="R82">
        <v>5</v>
      </c>
      <c r="S82" t="s">
        <v>31</v>
      </c>
    </row>
    <row r="83" spans="1:19">
      <c r="A83" t="s">
        <v>325</v>
      </c>
      <c r="B83" s="2">
        <v>46083</v>
      </c>
      <c r="C83" t="s">
        <v>21</v>
      </c>
      <c r="D83" t="s">
        <v>22</v>
      </c>
      <c r="E83" t="s">
        <v>22</v>
      </c>
      <c r="F83" t="s">
        <v>94</v>
      </c>
      <c r="G83" t="s">
        <v>44</v>
      </c>
      <c r="H83" t="s">
        <v>25</v>
      </c>
      <c r="I83" t="s">
        <v>125</v>
      </c>
      <c r="J83" t="s">
        <v>38</v>
      </c>
      <c r="K83" t="s">
        <v>39</v>
      </c>
      <c r="L83" t="s">
        <v>46</v>
      </c>
      <c r="M83">
        <v>2</v>
      </c>
      <c r="N83" s="3">
        <v>18.260000000000002</v>
      </c>
      <c r="O83" s="4">
        <v>0.1</v>
      </c>
      <c r="P83" s="3">
        <v>0</v>
      </c>
      <c r="Q83" t="s">
        <v>30</v>
      </c>
      <c r="R83">
        <v>5</v>
      </c>
      <c r="S83" t="s">
        <v>31</v>
      </c>
    </row>
    <row r="84" spans="1:19">
      <c r="A84" t="s">
        <v>299</v>
      </c>
      <c r="B84" s="2">
        <v>46084</v>
      </c>
      <c r="C84" t="s">
        <v>21</v>
      </c>
      <c r="D84" t="s">
        <v>22</v>
      </c>
      <c r="E84" t="s">
        <v>22</v>
      </c>
      <c r="F84" t="s">
        <v>94</v>
      </c>
      <c r="G84" t="s">
        <v>44</v>
      </c>
      <c r="H84" t="s">
        <v>50</v>
      </c>
      <c r="I84" t="s">
        <v>135</v>
      </c>
      <c r="J84" t="s">
        <v>57</v>
      </c>
      <c r="K84" t="s">
        <v>112</v>
      </c>
      <c r="L84" t="s">
        <v>54</v>
      </c>
      <c r="M84">
        <v>3</v>
      </c>
      <c r="N84" s="3">
        <v>3.45</v>
      </c>
      <c r="O84" s="4">
        <v>0.05</v>
      </c>
      <c r="P84" s="3">
        <v>19.95</v>
      </c>
      <c r="Q84" t="s">
        <v>30</v>
      </c>
      <c r="R84">
        <v>3</v>
      </c>
      <c r="S84" t="s">
        <v>63</v>
      </c>
    </row>
    <row r="85" spans="1:19">
      <c r="A85" t="s">
        <v>20</v>
      </c>
      <c r="B85" s="2">
        <v>46085</v>
      </c>
      <c r="C85" t="s">
        <v>21</v>
      </c>
      <c r="D85" t="s">
        <v>22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27</v>
      </c>
      <c r="K85" t="s">
        <v>28</v>
      </c>
      <c r="L85" t="s">
        <v>29</v>
      </c>
      <c r="M85">
        <v>2</v>
      </c>
      <c r="N85" s="3">
        <v>70.010000000000005</v>
      </c>
      <c r="O85" s="4">
        <v>0.2</v>
      </c>
      <c r="P85" s="3">
        <v>0</v>
      </c>
      <c r="Q85" t="s">
        <v>30</v>
      </c>
      <c r="R85">
        <v>3</v>
      </c>
      <c r="S85" t="s">
        <v>31</v>
      </c>
    </row>
    <row r="86" spans="1:19">
      <c r="A86" t="s">
        <v>252</v>
      </c>
      <c r="B86" s="2">
        <v>46085</v>
      </c>
      <c r="C86" t="s">
        <v>21</v>
      </c>
      <c r="D86" t="s">
        <v>80</v>
      </c>
      <c r="E86" t="s">
        <v>80</v>
      </c>
      <c r="F86" t="s">
        <v>133</v>
      </c>
      <c r="G86" t="s">
        <v>24</v>
      </c>
      <c r="H86" t="s">
        <v>50</v>
      </c>
      <c r="I86" t="s">
        <v>153</v>
      </c>
      <c r="J86" t="s">
        <v>27</v>
      </c>
      <c r="K86" t="s">
        <v>154</v>
      </c>
      <c r="L86" t="s">
        <v>40</v>
      </c>
      <c r="M86">
        <v>5</v>
      </c>
      <c r="N86" s="3">
        <v>724.11</v>
      </c>
      <c r="O86" s="4">
        <v>0</v>
      </c>
      <c r="P86" s="3">
        <v>0</v>
      </c>
      <c r="Q86" t="s">
        <v>30</v>
      </c>
      <c r="R86">
        <v>5</v>
      </c>
      <c r="S86" t="s">
        <v>31</v>
      </c>
    </row>
    <row r="87" spans="1:19">
      <c r="A87" t="s">
        <v>257</v>
      </c>
      <c r="B87" s="2">
        <v>46085</v>
      </c>
      <c r="C87" t="s">
        <v>21</v>
      </c>
      <c r="D87" t="s">
        <v>34</v>
      </c>
      <c r="E87" t="s">
        <v>34</v>
      </c>
      <c r="F87" t="s">
        <v>190</v>
      </c>
      <c r="G87" t="s">
        <v>44</v>
      </c>
      <c r="H87" t="s">
        <v>50</v>
      </c>
      <c r="I87" t="s">
        <v>26</v>
      </c>
      <c r="J87" t="s">
        <v>27</v>
      </c>
      <c r="K87" t="s">
        <v>28</v>
      </c>
      <c r="L87" t="s">
        <v>46</v>
      </c>
      <c r="M87">
        <v>5</v>
      </c>
      <c r="N87" s="3">
        <v>65.180000000000007</v>
      </c>
      <c r="O87" s="4">
        <v>0</v>
      </c>
      <c r="P87" s="3">
        <v>9.9499999999999993</v>
      </c>
      <c r="Q87" t="s">
        <v>30</v>
      </c>
      <c r="R87">
        <v>5</v>
      </c>
      <c r="S87" t="s">
        <v>41</v>
      </c>
    </row>
    <row r="88" spans="1:19">
      <c r="A88" t="s">
        <v>109</v>
      </c>
      <c r="B88" s="2">
        <v>46086</v>
      </c>
      <c r="C88" t="s">
        <v>21</v>
      </c>
      <c r="D88" t="s">
        <v>101</v>
      </c>
      <c r="E88" t="s">
        <v>101</v>
      </c>
      <c r="F88" t="s">
        <v>110</v>
      </c>
      <c r="G88" t="s">
        <v>24</v>
      </c>
      <c r="H88" t="s">
        <v>36</v>
      </c>
      <c r="I88" t="s">
        <v>111</v>
      </c>
      <c r="J88" t="s">
        <v>57</v>
      </c>
      <c r="K88" t="s">
        <v>112</v>
      </c>
      <c r="L88" t="s">
        <v>40</v>
      </c>
      <c r="M88">
        <v>2</v>
      </c>
      <c r="N88" s="3">
        <v>7.04</v>
      </c>
      <c r="O88" s="4">
        <v>0</v>
      </c>
      <c r="P88" s="3">
        <v>0</v>
      </c>
      <c r="Q88" t="s">
        <v>30</v>
      </c>
      <c r="R88">
        <v>4</v>
      </c>
      <c r="S88" t="s">
        <v>41</v>
      </c>
    </row>
    <row r="89" spans="1:19">
      <c r="A89" t="s">
        <v>227</v>
      </c>
      <c r="B89" s="2">
        <v>46086</v>
      </c>
      <c r="C89" t="s">
        <v>21</v>
      </c>
      <c r="D89" t="s">
        <v>22</v>
      </c>
      <c r="E89" t="s">
        <v>22</v>
      </c>
      <c r="F89" t="s">
        <v>87</v>
      </c>
      <c r="G89" t="s">
        <v>44</v>
      </c>
      <c r="H89" t="s">
        <v>50</v>
      </c>
      <c r="I89" t="s">
        <v>139</v>
      </c>
      <c r="J89" t="s">
        <v>57</v>
      </c>
      <c r="K89" t="s">
        <v>99</v>
      </c>
      <c r="L89" t="s">
        <v>29</v>
      </c>
      <c r="M89">
        <v>1</v>
      </c>
      <c r="N89" s="3">
        <v>12.4</v>
      </c>
      <c r="O89" s="4">
        <v>0.3</v>
      </c>
      <c r="P89" s="3">
        <v>19.95</v>
      </c>
      <c r="Q89" t="s">
        <v>30</v>
      </c>
      <c r="R89">
        <v>4</v>
      </c>
      <c r="S89" t="s">
        <v>31</v>
      </c>
    </row>
    <row r="90" spans="1:19">
      <c r="A90" t="s">
        <v>213</v>
      </c>
      <c r="B90" s="2">
        <v>46087</v>
      </c>
      <c r="C90" t="s">
        <v>21</v>
      </c>
      <c r="D90" t="s">
        <v>80</v>
      </c>
      <c r="E90" t="s">
        <v>80</v>
      </c>
      <c r="F90" t="s">
        <v>81</v>
      </c>
      <c r="G90" t="s">
        <v>44</v>
      </c>
      <c r="H90" t="s">
        <v>25</v>
      </c>
      <c r="I90" t="s">
        <v>145</v>
      </c>
      <c r="J90" t="s">
        <v>52</v>
      </c>
      <c r="K90" t="s">
        <v>99</v>
      </c>
      <c r="L90" t="s">
        <v>40</v>
      </c>
      <c r="M90">
        <v>1</v>
      </c>
      <c r="N90" s="3">
        <v>76.94</v>
      </c>
      <c r="O90" s="4">
        <v>0.2</v>
      </c>
      <c r="P90" s="3">
        <v>0</v>
      </c>
      <c r="Q90" t="s">
        <v>30</v>
      </c>
      <c r="R90">
        <v>5</v>
      </c>
      <c r="S90" t="s">
        <v>63</v>
      </c>
    </row>
    <row r="91" spans="1:19">
      <c r="A91" t="s">
        <v>195</v>
      </c>
      <c r="B91" s="2">
        <v>46088</v>
      </c>
      <c r="C91" t="s">
        <v>21</v>
      </c>
      <c r="D91" t="s">
        <v>22</v>
      </c>
      <c r="E91" t="s">
        <v>22</v>
      </c>
      <c r="F91" t="s">
        <v>66</v>
      </c>
      <c r="G91" t="s">
        <v>44</v>
      </c>
      <c r="H91" t="s">
        <v>36</v>
      </c>
      <c r="I91" t="s">
        <v>45</v>
      </c>
      <c r="J91" t="s">
        <v>27</v>
      </c>
      <c r="K91" t="s">
        <v>28</v>
      </c>
      <c r="L91" t="s">
        <v>40</v>
      </c>
      <c r="M91">
        <v>1</v>
      </c>
      <c r="N91" s="3">
        <v>35.31</v>
      </c>
      <c r="O91" s="4">
        <v>0.1</v>
      </c>
      <c r="P91" s="3">
        <v>5.95</v>
      </c>
      <c r="Q91" t="s">
        <v>85</v>
      </c>
      <c r="R91">
        <v>3</v>
      </c>
      <c r="S91" t="s">
        <v>41</v>
      </c>
    </row>
    <row r="92" spans="1:19">
      <c r="A92" t="s">
        <v>238</v>
      </c>
      <c r="B92" s="2">
        <v>46088</v>
      </c>
      <c r="C92" t="s">
        <v>21</v>
      </c>
      <c r="D92" t="s">
        <v>75</v>
      </c>
      <c r="E92" t="s">
        <v>75</v>
      </c>
      <c r="F92" t="s">
        <v>76</v>
      </c>
      <c r="G92" t="s">
        <v>24</v>
      </c>
      <c r="H92" t="s">
        <v>25</v>
      </c>
      <c r="I92" t="s">
        <v>56</v>
      </c>
      <c r="J92" t="s">
        <v>57</v>
      </c>
      <c r="K92" t="s">
        <v>58</v>
      </c>
      <c r="L92" t="s">
        <v>29</v>
      </c>
      <c r="M92">
        <v>5</v>
      </c>
      <c r="N92" s="3">
        <v>24.05</v>
      </c>
      <c r="O92" s="4">
        <v>0.15</v>
      </c>
      <c r="P92" s="3">
        <v>9.9499999999999993</v>
      </c>
      <c r="Q92" t="s">
        <v>85</v>
      </c>
      <c r="R92">
        <v>2</v>
      </c>
      <c r="S92" t="s">
        <v>31</v>
      </c>
    </row>
    <row r="93" spans="1:19">
      <c r="A93" t="s">
        <v>326</v>
      </c>
      <c r="B93" s="2">
        <v>46088</v>
      </c>
      <c r="C93" t="s">
        <v>21</v>
      </c>
      <c r="D93" t="s">
        <v>34</v>
      </c>
      <c r="E93" t="s">
        <v>34</v>
      </c>
      <c r="F93" t="s">
        <v>105</v>
      </c>
      <c r="G93" t="s">
        <v>44</v>
      </c>
      <c r="H93" t="s">
        <v>36</v>
      </c>
      <c r="I93" t="s">
        <v>114</v>
      </c>
      <c r="J93" t="s">
        <v>52</v>
      </c>
      <c r="K93" t="s">
        <v>115</v>
      </c>
      <c r="L93" t="s">
        <v>40</v>
      </c>
      <c r="M93">
        <v>6</v>
      </c>
      <c r="N93" s="3">
        <v>259.04000000000002</v>
      </c>
      <c r="O93" s="4">
        <v>0.05</v>
      </c>
      <c r="P93" s="3">
        <v>34.950000000000003</v>
      </c>
      <c r="Q93" t="s">
        <v>85</v>
      </c>
      <c r="R93">
        <v>3</v>
      </c>
      <c r="S93" t="s">
        <v>63</v>
      </c>
    </row>
    <row r="94" spans="1:19">
      <c r="A94" t="s">
        <v>298</v>
      </c>
      <c r="B94" s="2">
        <v>46093</v>
      </c>
      <c r="C94" t="s">
        <v>21</v>
      </c>
      <c r="D94" t="s">
        <v>101</v>
      </c>
      <c r="E94" t="s">
        <v>101</v>
      </c>
      <c r="F94" t="s">
        <v>102</v>
      </c>
      <c r="G94" t="s">
        <v>49</v>
      </c>
      <c r="H94" t="s">
        <v>50</v>
      </c>
      <c r="I94" t="s">
        <v>127</v>
      </c>
      <c r="J94" t="s">
        <v>57</v>
      </c>
      <c r="K94" t="s">
        <v>58</v>
      </c>
      <c r="L94" t="s">
        <v>29</v>
      </c>
      <c r="M94">
        <v>4</v>
      </c>
      <c r="N94" s="3">
        <v>5.4</v>
      </c>
      <c r="O94" s="4">
        <v>0.1</v>
      </c>
      <c r="P94" s="3">
        <v>24.95</v>
      </c>
      <c r="Q94" t="s">
        <v>30</v>
      </c>
      <c r="R94">
        <v>3</v>
      </c>
      <c r="S94" t="s">
        <v>31</v>
      </c>
    </row>
    <row r="95" spans="1:19">
      <c r="A95" t="s">
        <v>155</v>
      </c>
      <c r="B95" s="2">
        <v>46094</v>
      </c>
      <c r="C95" t="s">
        <v>21</v>
      </c>
      <c r="D95" t="s">
        <v>80</v>
      </c>
      <c r="E95" t="s">
        <v>80</v>
      </c>
      <c r="F95" t="s">
        <v>81</v>
      </c>
      <c r="G95" t="s">
        <v>44</v>
      </c>
      <c r="H95" t="s">
        <v>36</v>
      </c>
      <c r="I95" t="s">
        <v>125</v>
      </c>
      <c r="J95" t="s">
        <v>38</v>
      </c>
      <c r="K95" t="s">
        <v>39</v>
      </c>
      <c r="L95" t="s">
        <v>40</v>
      </c>
      <c r="M95">
        <v>1</v>
      </c>
      <c r="N95" s="3">
        <v>18.84</v>
      </c>
      <c r="O95" s="4">
        <v>0.1</v>
      </c>
      <c r="P95" s="3">
        <v>14.95</v>
      </c>
      <c r="Q95" t="s">
        <v>85</v>
      </c>
      <c r="R95">
        <v>3</v>
      </c>
      <c r="S95" t="s">
        <v>41</v>
      </c>
    </row>
    <row r="96" spans="1:19">
      <c r="A96" t="s">
        <v>200</v>
      </c>
      <c r="B96" s="2">
        <v>46095</v>
      </c>
      <c r="C96" t="s">
        <v>21</v>
      </c>
      <c r="D96" t="s">
        <v>80</v>
      </c>
      <c r="E96" t="s">
        <v>80</v>
      </c>
      <c r="F96" t="s">
        <v>81</v>
      </c>
      <c r="G96" t="s">
        <v>44</v>
      </c>
      <c r="H96" t="s">
        <v>50</v>
      </c>
      <c r="I96" t="s">
        <v>26</v>
      </c>
      <c r="J96" t="s">
        <v>27</v>
      </c>
      <c r="K96" t="s">
        <v>28</v>
      </c>
      <c r="L96" t="s">
        <v>59</v>
      </c>
      <c r="M96">
        <v>2</v>
      </c>
      <c r="N96" s="3">
        <v>75.73</v>
      </c>
      <c r="O96" s="4">
        <v>0.1</v>
      </c>
      <c r="P96" s="3">
        <v>5.95</v>
      </c>
      <c r="Q96" t="s">
        <v>30</v>
      </c>
      <c r="R96">
        <v>4</v>
      </c>
      <c r="S96" t="s">
        <v>31</v>
      </c>
    </row>
    <row r="97" spans="1:20">
      <c r="A97" t="s">
        <v>119</v>
      </c>
      <c r="B97" s="2">
        <v>46096</v>
      </c>
      <c r="C97" t="s">
        <v>21</v>
      </c>
      <c r="D97" t="s">
        <v>101</v>
      </c>
      <c r="E97" t="s">
        <v>101</v>
      </c>
      <c r="F97" t="s">
        <v>108</v>
      </c>
      <c r="G97" t="s">
        <v>49</v>
      </c>
      <c r="H97" t="s">
        <v>77</v>
      </c>
      <c r="I97" t="s">
        <v>61</v>
      </c>
      <c r="J97" t="s">
        <v>38</v>
      </c>
      <c r="K97" t="s">
        <v>62</v>
      </c>
      <c r="L97" t="s">
        <v>92</v>
      </c>
      <c r="M97">
        <v>2</v>
      </c>
      <c r="N97" s="3">
        <v>17.32</v>
      </c>
      <c r="O97" s="4">
        <v>0.1</v>
      </c>
      <c r="P97" s="3">
        <v>9.9499999999999993</v>
      </c>
      <c r="Q97" t="s">
        <v>30</v>
      </c>
      <c r="R97">
        <v>2</v>
      </c>
      <c r="S97" t="s">
        <v>31</v>
      </c>
    </row>
    <row r="98" spans="1:20">
      <c r="A98" t="s">
        <v>229</v>
      </c>
      <c r="B98" s="2">
        <v>46096</v>
      </c>
      <c r="C98" t="s">
        <v>21</v>
      </c>
      <c r="D98" t="s">
        <v>80</v>
      </c>
      <c r="E98" t="s">
        <v>80</v>
      </c>
      <c r="F98" t="s">
        <v>81</v>
      </c>
      <c r="G98" t="s">
        <v>44</v>
      </c>
      <c r="H98" t="s">
        <v>25</v>
      </c>
      <c r="I98" t="s">
        <v>145</v>
      </c>
      <c r="J98" t="s">
        <v>52</v>
      </c>
      <c r="K98" t="s">
        <v>99</v>
      </c>
      <c r="L98" t="s">
        <v>59</v>
      </c>
      <c r="M98">
        <v>4</v>
      </c>
      <c r="N98" s="3">
        <v>81.87</v>
      </c>
      <c r="O98" s="4">
        <v>0.2</v>
      </c>
      <c r="P98" s="3">
        <v>24.95</v>
      </c>
      <c r="Q98" t="s">
        <v>30</v>
      </c>
      <c r="R98">
        <v>5</v>
      </c>
      <c r="S98" t="s">
        <v>68</v>
      </c>
    </row>
    <row r="99" spans="1:20">
      <c r="A99" t="s">
        <v>237</v>
      </c>
      <c r="B99" s="2">
        <v>46096</v>
      </c>
      <c r="C99" t="s">
        <v>21</v>
      </c>
      <c r="D99" t="s">
        <v>80</v>
      </c>
      <c r="E99" t="s">
        <v>80</v>
      </c>
      <c r="F99" t="s">
        <v>97</v>
      </c>
      <c r="G99" t="s">
        <v>44</v>
      </c>
      <c r="H99" t="s">
        <v>25</v>
      </c>
      <c r="I99" t="s">
        <v>125</v>
      </c>
      <c r="J99" t="s">
        <v>38</v>
      </c>
      <c r="K99" t="s">
        <v>39</v>
      </c>
      <c r="L99" t="s">
        <v>46</v>
      </c>
      <c r="M99">
        <v>1</v>
      </c>
      <c r="N99" s="3">
        <v>19.05</v>
      </c>
      <c r="O99" s="4">
        <v>0.05</v>
      </c>
      <c r="P99" s="3">
        <v>14.95</v>
      </c>
      <c r="Q99" t="s">
        <v>30</v>
      </c>
      <c r="R99">
        <v>4</v>
      </c>
      <c r="S99" t="s">
        <v>68</v>
      </c>
    </row>
    <row r="100" spans="1:20">
      <c r="A100" t="s">
        <v>241</v>
      </c>
      <c r="B100" s="2">
        <v>46097</v>
      </c>
      <c r="C100" t="s">
        <v>21</v>
      </c>
      <c r="D100" t="s">
        <v>101</v>
      </c>
      <c r="E100" t="s">
        <v>101</v>
      </c>
      <c r="F100" t="s">
        <v>102</v>
      </c>
      <c r="G100" t="s">
        <v>44</v>
      </c>
      <c r="H100" t="s">
        <v>36</v>
      </c>
      <c r="I100" t="s">
        <v>135</v>
      </c>
      <c r="J100" t="s">
        <v>57</v>
      </c>
      <c r="K100" t="s">
        <v>112</v>
      </c>
      <c r="L100" t="s">
        <v>92</v>
      </c>
      <c r="M100">
        <v>7</v>
      </c>
      <c r="N100" s="3">
        <v>3.41</v>
      </c>
      <c r="O100" s="4">
        <v>0.1</v>
      </c>
      <c r="P100" s="3">
        <v>9.9499999999999993</v>
      </c>
      <c r="Q100" t="s">
        <v>85</v>
      </c>
      <c r="R100">
        <v>2</v>
      </c>
      <c r="S100" t="s">
        <v>31</v>
      </c>
    </row>
    <row r="101" spans="1:20">
      <c r="A101" t="s">
        <v>274</v>
      </c>
      <c r="B101" s="2">
        <v>46097</v>
      </c>
      <c r="C101" t="s">
        <v>21</v>
      </c>
      <c r="D101" t="s">
        <v>75</v>
      </c>
      <c r="E101" t="s">
        <v>75</v>
      </c>
      <c r="F101" t="s">
        <v>84</v>
      </c>
      <c r="G101" t="s">
        <v>44</v>
      </c>
      <c r="H101" t="s">
        <v>25</v>
      </c>
      <c r="I101" t="s">
        <v>90</v>
      </c>
      <c r="J101" t="s">
        <v>27</v>
      </c>
      <c r="K101" t="s">
        <v>91</v>
      </c>
      <c r="L101" t="s">
        <v>29</v>
      </c>
      <c r="M101">
        <v>5</v>
      </c>
      <c r="N101" s="3">
        <v>223.98</v>
      </c>
      <c r="O101" s="4">
        <v>0.15</v>
      </c>
      <c r="P101" s="3">
        <v>9.9499999999999993</v>
      </c>
      <c r="Q101" t="s">
        <v>30</v>
      </c>
      <c r="R101">
        <v>5</v>
      </c>
      <c r="S101" t="s">
        <v>31</v>
      </c>
    </row>
    <row r="102" spans="1:20">
      <c r="A102" t="s">
        <v>259</v>
      </c>
      <c r="B102" s="2">
        <v>46098</v>
      </c>
      <c r="C102" t="s">
        <v>21</v>
      </c>
      <c r="D102" t="s">
        <v>22</v>
      </c>
      <c r="E102" t="s">
        <v>22</v>
      </c>
      <c r="F102" t="s">
        <v>87</v>
      </c>
      <c r="G102" t="s">
        <v>44</v>
      </c>
      <c r="H102" t="s">
        <v>36</v>
      </c>
      <c r="I102" t="s">
        <v>45</v>
      </c>
      <c r="J102" t="s">
        <v>27</v>
      </c>
      <c r="K102" t="s">
        <v>28</v>
      </c>
      <c r="L102" t="s">
        <v>92</v>
      </c>
      <c r="M102">
        <v>1</v>
      </c>
      <c r="N102" s="3">
        <v>31.22</v>
      </c>
      <c r="O102" s="4">
        <v>0.15</v>
      </c>
      <c r="P102" s="3">
        <v>14.95</v>
      </c>
      <c r="Q102" t="s">
        <v>30</v>
      </c>
      <c r="R102">
        <v>5</v>
      </c>
      <c r="S102" t="s">
        <v>63</v>
      </c>
    </row>
    <row r="103" spans="1:20">
      <c r="A103" t="s">
        <v>344</v>
      </c>
      <c r="B103" s="2">
        <v>46099</v>
      </c>
      <c r="C103" t="s">
        <v>21</v>
      </c>
      <c r="D103" t="s">
        <v>34</v>
      </c>
      <c r="E103" t="s">
        <v>34</v>
      </c>
      <c r="F103" t="s">
        <v>105</v>
      </c>
      <c r="G103" t="s">
        <v>44</v>
      </c>
      <c r="H103" t="s">
        <v>50</v>
      </c>
      <c r="I103" t="s">
        <v>61</v>
      </c>
      <c r="J103" t="s">
        <v>38</v>
      </c>
      <c r="K103" t="s">
        <v>62</v>
      </c>
      <c r="L103" t="s">
        <v>29</v>
      </c>
      <c r="M103">
        <v>5</v>
      </c>
      <c r="N103" s="3">
        <v>16.7</v>
      </c>
      <c r="O103" s="4">
        <v>0</v>
      </c>
      <c r="P103" s="3">
        <v>9.9499999999999993</v>
      </c>
      <c r="Q103" t="s">
        <v>30</v>
      </c>
      <c r="R103">
        <v>5</v>
      </c>
      <c r="S103" t="s">
        <v>31</v>
      </c>
    </row>
    <row r="104" spans="1:20">
      <c r="A104" t="s">
        <v>144</v>
      </c>
      <c r="B104" s="2">
        <v>46100</v>
      </c>
      <c r="C104" t="s">
        <v>21</v>
      </c>
      <c r="D104" t="s">
        <v>22</v>
      </c>
      <c r="E104" t="s">
        <v>22</v>
      </c>
      <c r="F104" t="s">
        <v>66</v>
      </c>
      <c r="G104" t="s">
        <v>49</v>
      </c>
      <c r="H104" t="s">
        <v>36</v>
      </c>
      <c r="I104" t="s">
        <v>145</v>
      </c>
      <c r="J104" t="s">
        <v>52</v>
      </c>
      <c r="K104" t="s">
        <v>99</v>
      </c>
      <c r="L104" t="s">
        <v>67</v>
      </c>
      <c r="M104">
        <v>1</v>
      </c>
      <c r="N104" s="3">
        <v>75.599999999999994</v>
      </c>
      <c r="O104" s="4">
        <v>0.3</v>
      </c>
      <c r="P104" s="3">
        <v>19.95</v>
      </c>
      <c r="Q104" t="s">
        <v>30</v>
      </c>
      <c r="R104">
        <v>4</v>
      </c>
      <c r="S104" t="s">
        <v>68</v>
      </c>
    </row>
    <row r="105" spans="1:20">
      <c r="A105" t="s">
        <v>141</v>
      </c>
      <c r="B105" s="2">
        <v>46101</v>
      </c>
      <c r="C105" t="s">
        <v>21</v>
      </c>
      <c r="D105" t="s">
        <v>80</v>
      </c>
      <c r="E105" t="s">
        <v>80</v>
      </c>
      <c r="F105" t="s">
        <v>123</v>
      </c>
      <c r="G105" t="s">
        <v>49</v>
      </c>
      <c r="H105" t="s">
        <v>36</v>
      </c>
      <c r="I105" t="s">
        <v>114</v>
      </c>
      <c r="J105" t="s">
        <v>52</v>
      </c>
      <c r="K105" t="s">
        <v>115</v>
      </c>
      <c r="L105" t="s">
        <v>46</v>
      </c>
      <c r="M105">
        <v>5</v>
      </c>
      <c r="N105" s="3">
        <v>281.89</v>
      </c>
      <c r="O105" s="4">
        <v>0</v>
      </c>
      <c r="P105" s="3">
        <v>24.95</v>
      </c>
      <c r="Q105" t="s">
        <v>30</v>
      </c>
      <c r="R105">
        <v>5</v>
      </c>
      <c r="S105" t="s">
        <v>41</v>
      </c>
    </row>
    <row r="106" spans="1:20">
      <c r="A106" t="s">
        <v>188</v>
      </c>
      <c r="B106" s="2">
        <v>46102</v>
      </c>
      <c r="C106" t="s">
        <v>21</v>
      </c>
      <c r="D106" t="s">
        <v>80</v>
      </c>
      <c r="E106" t="s">
        <v>80</v>
      </c>
      <c r="F106" t="s">
        <v>97</v>
      </c>
      <c r="G106" t="s">
        <v>24</v>
      </c>
      <c r="H106" t="s">
        <v>25</v>
      </c>
      <c r="I106" t="s">
        <v>139</v>
      </c>
      <c r="J106" t="s">
        <v>57</v>
      </c>
      <c r="K106" t="s">
        <v>99</v>
      </c>
      <c r="L106" t="s">
        <v>67</v>
      </c>
      <c r="M106">
        <v>5</v>
      </c>
      <c r="N106" s="3">
        <v>13.45</v>
      </c>
      <c r="O106" s="4">
        <v>0.1</v>
      </c>
      <c r="P106" s="3">
        <v>0</v>
      </c>
      <c r="Q106" t="s">
        <v>30</v>
      </c>
      <c r="R106">
        <v>4</v>
      </c>
      <c r="S106" t="s">
        <v>41</v>
      </c>
    </row>
    <row r="107" spans="1:20">
      <c r="A107" t="s">
        <v>204</v>
      </c>
      <c r="B107" s="2">
        <v>46102</v>
      </c>
      <c r="C107" t="s">
        <v>21</v>
      </c>
      <c r="D107" t="s">
        <v>22</v>
      </c>
      <c r="E107" t="s">
        <v>22</v>
      </c>
      <c r="F107" t="s">
        <v>66</v>
      </c>
      <c r="G107" t="s">
        <v>44</v>
      </c>
      <c r="H107" t="s">
        <v>50</v>
      </c>
      <c r="I107" t="s">
        <v>139</v>
      </c>
      <c r="J107" t="s">
        <v>57</v>
      </c>
      <c r="K107" t="s">
        <v>99</v>
      </c>
      <c r="L107" t="s">
        <v>59</v>
      </c>
      <c r="M107">
        <v>10</v>
      </c>
      <c r="N107" s="3">
        <v>13.46</v>
      </c>
      <c r="O107" s="4">
        <v>0.2</v>
      </c>
      <c r="P107" s="3">
        <v>14.95</v>
      </c>
      <c r="Q107" t="s">
        <v>30</v>
      </c>
      <c r="R107">
        <v>2</v>
      </c>
      <c r="S107" t="s">
        <v>63</v>
      </c>
    </row>
    <row r="108" spans="1:20">
      <c r="A108" t="s">
        <v>302</v>
      </c>
      <c r="B108" s="2">
        <v>46102</v>
      </c>
      <c r="C108" t="s">
        <v>21</v>
      </c>
      <c r="D108" t="s">
        <v>80</v>
      </c>
      <c r="E108" t="s">
        <v>80</v>
      </c>
      <c r="F108" t="s">
        <v>133</v>
      </c>
      <c r="G108" t="s">
        <v>24</v>
      </c>
      <c r="H108" t="s">
        <v>36</v>
      </c>
      <c r="I108" t="s">
        <v>135</v>
      </c>
      <c r="J108" t="s">
        <v>57</v>
      </c>
      <c r="K108" t="s">
        <v>112</v>
      </c>
      <c r="L108" t="s">
        <v>82</v>
      </c>
      <c r="M108">
        <v>5</v>
      </c>
      <c r="N108" s="3">
        <v>3.68</v>
      </c>
      <c r="O108" s="4">
        <v>0.15</v>
      </c>
      <c r="P108" s="3">
        <v>0</v>
      </c>
      <c r="Q108" t="s">
        <v>30</v>
      </c>
      <c r="R108">
        <v>5</v>
      </c>
      <c r="S108" t="s">
        <v>41</v>
      </c>
    </row>
    <row r="109" spans="1:20">
      <c r="A109" t="s">
        <v>142</v>
      </c>
      <c r="B109" s="2">
        <v>46103</v>
      </c>
      <c r="C109" t="s">
        <v>21</v>
      </c>
      <c r="D109" t="s">
        <v>22</v>
      </c>
      <c r="E109" t="s">
        <v>22</v>
      </c>
      <c r="F109" t="s">
        <v>66</v>
      </c>
      <c r="G109" t="s">
        <v>49</v>
      </c>
      <c r="H109" t="s">
        <v>50</v>
      </c>
      <c r="I109" t="s">
        <v>98</v>
      </c>
      <c r="J109" t="s">
        <v>52</v>
      </c>
      <c r="K109" t="s">
        <v>99</v>
      </c>
      <c r="L109" t="s">
        <v>67</v>
      </c>
      <c r="M109">
        <v>1</v>
      </c>
      <c r="N109" s="3">
        <v>138.94</v>
      </c>
      <c r="O109" s="4">
        <v>0</v>
      </c>
      <c r="P109" s="3">
        <v>5.95</v>
      </c>
      <c r="Q109" t="s">
        <v>30</v>
      </c>
      <c r="R109">
        <v>5</v>
      </c>
      <c r="S109" t="s">
        <v>31</v>
      </c>
      <c r="T109" t="s">
        <v>143</v>
      </c>
    </row>
    <row r="110" spans="1:20">
      <c r="A110" t="s">
        <v>226</v>
      </c>
      <c r="B110" s="2">
        <v>46103</v>
      </c>
      <c r="C110" t="s">
        <v>21</v>
      </c>
      <c r="D110" t="s">
        <v>22</v>
      </c>
      <c r="E110" t="s">
        <v>22</v>
      </c>
      <c r="F110" t="s">
        <v>66</v>
      </c>
      <c r="G110" t="s">
        <v>44</v>
      </c>
      <c r="H110" t="s">
        <v>25</v>
      </c>
      <c r="I110" t="s">
        <v>139</v>
      </c>
      <c r="J110" t="s">
        <v>57</v>
      </c>
      <c r="K110" t="s">
        <v>99</v>
      </c>
      <c r="L110" t="s">
        <v>40</v>
      </c>
      <c r="M110">
        <v>7</v>
      </c>
      <c r="N110" s="3">
        <v>12.79</v>
      </c>
      <c r="O110" s="4">
        <v>0.4</v>
      </c>
      <c r="P110" s="3">
        <v>24.95</v>
      </c>
      <c r="Q110" t="s">
        <v>85</v>
      </c>
      <c r="R110">
        <v>2</v>
      </c>
      <c r="S110" t="s">
        <v>31</v>
      </c>
    </row>
    <row r="111" spans="1:20">
      <c r="A111" t="s">
        <v>152</v>
      </c>
      <c r="B111" s="2">
        <v>46105</v>
      </c>
      <c r="C111" t="s">
        <v>21</v>
      </c>
      <c r="D111" t="s">
        <v>101</v>
      </c>
      <c r="E111" t="s">
        <v>101</v>
      </c>
      <c r="F111" t="s">
        <v>110</v>
      </c>
      <c r="G111" t="s">
        <v>49</v>
      </c>
      <c r="H111" t="s">
        <v>50</v>
      </c>
      <c r="I111" t="s">
        <v>153</v>
      </c>
      <c r="J111" t="s">
        <v>27</v>
      </c>
      <c r="K111" t="s">
        <v>154</v>
      </c>
      <c r="L111" t="s">
        <v>82</v>
      </c>
      <c r="M111">
        <v>4</v>
      </c>
      <c r="N111" s="3">
        <v>685.12</v>
      </c>
      <c r="O111" s="4">
        <v>0.1</v>
      </c>
      <c r="P111" s="3">
        <v>19.95</v>
      </c>
      <c r="Q111" t="s">
        <v>30</v>
      </c>
      <c r="R111">
        <v>3</v>
      </c>
      <c r="S111" t="s">
        <v>31</v>
      </c>
    </row>
    <row r="112" spans="1:20">
      <c r="A112" t="s">
        <v>240</v>
      </c>
      <c r="B112" s="2">
        <v>46105</v>
      </c>
      <c r="C112" t="s">
        <v>21</v>
      </c>
      <c r="D112" t="s">
        <v>34</v>
      </c>
      <c r="E112" t="s">
        <v>34</v>
      </c>
      <c r="F112" t="s">
        <v>105</v>
      </c>
      <c r="G112" t="s">
        <v>24</v>
      </c>
      <c r="H112" t="s">
        <v>36</v>
      </c>
      <c r="I112" t="s">
        <v>125</v>
      </c>
      <c r="J112" t="s">
        <v>38</v>
      </c>
      <c r="K112" t="s">
        <v>39</v>
      </c>
      <c r="L112" t="s">
        <v>54</v>
      </c>
      <c r="M112">
        <v>2</v>
      </c>
      <c r="N112" s="3">
        <v>17.68</v>
      </c>
      <c r="O112" s="4">
        <v>0.15</v>
      </c>
      <c r="P112" s="3">
        <v>24.95</v>
      </c>
      <c r="Q112" t="s">
        <v>30</v>
      </c>
      <c r="R112">
        <v>3</v>
      </c>
      <c r="S112" t="s">
        <v>68</v>
      </c>
    </row>
    <row r="113" spans="1:19">
      <c r="A113" t="s">
        <v>118</v>
      </c>
      <c r="B113" s="2">
        <v>46106</v>
      </c>
      <c r="C113" t="s">
        <v>21</v>
      </c>
      <c r="D113" t="s">
        <v>22</v>
      </c>
      <c r="E113" t="s">
        <v>22</v>
      </c>
      <c r="F113" t="s">
        <v>87</v>
      </c>
      <c r="G113" t="s">
        <v>49</v>
      </c>
      <c r="H113" t="s">
        <v>77</v>
      </c>
      <c r="I113" t="s">
        <v>37</v>
      </c>
      <c r="J113" t="s">
        <v>38</v>
      </c>
      <c r="K113" t="s">
        <v>39</v>
      </c>
      <c r="L113" t="s">
        <v>46</v>
      </c>
      <c r="M113">
        <v>3</v>
      </c>
      <c r="N113" s="3">
        <v>6.08</v>
      </c>
      <c r="O113" s="4">
        <v>0</v>
      </c>
      <c r="P113" s="3">
        <v>14.95</v>
      </c>
      <c r="Q113" t="s">
        <v>30</v>
      </c>
      <c r="R113">
        <v>5</v>
      </c>
      <c r="S113" t="s">
        <v>63</v>
      </c>
    </row>
    <row r="114" spans="1:19">
      <c r="A114" t="s">
        <v>171</v>
      </c>
      <c r="B114" s="2">
        <v>46106</v>
      </c>
      <c r="C114" t="s">
        <v>21</v>
      </c>
      <c r="D114" t="s">
        <v>22</v>
      </c>
      <c r="E114" t="s">
        <v>22</v>
      </c>
      <c r="F114" t="s">
        <v>23</v>
      </c>
      <c r="G114" t="s">
        <v>24</v>
      </c>
      <c r="H114" t="s">
        <v>50</v>
      </c>
      <c r="I114" t="s">
        <v>45</v>
      </c>
      <c r="J114" t="s">
        <v>27</v>
      </c>
      <c r="K114" t="s">
        <v>28</v>
      </c>
      <c r="L114" t="s">
        <v>92</v>
      </c>
      <c r="M114">
        <v>5</v>
      </c>
      <c r="N114" s="3">
        <v>28.73</v>
      </c>
      <c r="O114" s="4">
        <v>0.05</v>
      </c>
      <c r="P114" s="3">
        <v>9.9499999999999993</v>
      </c>
      <c r="Q114" t="s">
        <v>30</v>
      </c>
      <c r="R114">
        <v>5</v>
      </c>
      <c r="S114" t="s">
        <v>41</v>
      </c>
    </row>
    <row r="115" spans="1:19">
      <c r="A115" t="s">
        <v>309</v>
      </c>
      <c r="B115" s="2">
        <v>46108</v>
      </c>
      <c r="C115" t="s">
        <v>21</v>
      </c>
      <c r="D115" t="s">
        <v>80</v>
      </c>
      <c r="E115" t="s">
        <v>80</v>
      </c>
      <c r="F115" t="s">
        <v>133</v>
      </c>
      <c r="G115" t="s">
        <v>44</v>
      </c>
      <c r="H115" t="s">
        <v>36</v>
      </c>
      <c r="I115" t="s">
        <v>114</v>
      </c>
      <c r="J115" t="s">
        <v>52</v>
      </c>
      <c r="K115" t="s">
        <v>115</v>
      </c>
      <c r="L115" t="s">
        <v>82</v>
      </c>
      <c r="M115">
        <v>1</v>
      </c>
      <c r="N115" s="3">
        <v>313.39</v>
      </c>
      <c r="O115" s="4">
        <v>0.1</v>
      </c>
      <c r="P115" s="3">
        <v>0</v>
      </c>
      <c r="Q115" t="s">
        <v>30</v>
      </c>
      <c r="R115">
        <v>4</v>
      </c>
      <c r="S115" t="s">
        <v>31</v>
      </c>
    </row>
    <row r="116" spans="1:19">
      <c r="A116" t="s">
        <v>214</v>
      </c>
      <c r="B116" s="2">
        <v>46109</v>
      </c>
      <c r="C116" t="s">
        <v>21</v>
      </c>
      <c r="D116" t="s">
        <v>34</v>
      </c>
      <c r="E116" t="s">
        <v>34</v>
      </c>
      <c r="F116" t="s">
        <v>190</v>
      </c>
      <c r="G116" t="s">
        <v>24</v>
      </c>
      <c r="H116" t="s">
        <v>36</v>
      </c>
      <c r="I116" t="s">
        <v>135</v>
      </c>
      <c r="J116" t="s">
        <v>57</v>
      </c>
      <c r="K116" t="s">
        <v>112</v>
      </c>
      <c r="L116" t="s">
        <v>54</v>
      </c>
      <c r="M116">
        <v>10</v>
      </c>
      <c r="N116" s="3">
        <v>3.6</v>
      </c>
      <c r="O116" s="4">
        <v>0.05</v>
      </c>
      <c r="P116" s="3">
        <v>24.95</v>
      </c>
      <c r="Q116" t="s">
        <v>30</v>
      </c>
      <c r="R116">
        <v>5</v>
      </c>
      <c r="S116" t="s">
        <v>41</v>
      </c>
    </row>
    <row r="117" spans="1:19">
      <c r="A117" t="s">
        <v>146</v>
      </c>
      <c r="B117" s="2">
        <v>46110</v>
      </c>
      <c r="C117" t="s">
        <v>21</v>
      </c>
      <c r="D117" t="s">
        <v>80</v>
      </c>
      <c r="E117" t="s">
        <v>80</v>
      </c>
      <c r="F117" t="s">
        <v>81</v>
      </c>
      <c r="G117" t="s">
        <v>49</v>
      </c>
      <c r="H117" t="s">
        <v>25</v>
      </c>
      <c r="I117" t="s">
        <v>145</v>
      </c>
      <c r="J117" t="s">
        <v>52</v>
      </c>
      <c r="K117" t="s">
        <v>99</v>
      </c>
      <c r="L117" t="s">
        <v>54</v>
      </c>
      <c r="M117">
        <v>1</v>
      </c>
      <c r="N117" s="3">
        <v>83.02</v>
      </c>
      <c r="O117" s="4">
        <v>0.05</v>
      </c>
      <c r="P117" s="3">
        <v>0</v>
      </c>
      <c r="Q117" t="s">
        <v>30</v>
      </c>
      <c r="R117">
        <v>4</v>
      </c>
      <c r="S117" t="s">
        <v>31</v>
      </c>
    </row>
    <row r="118" spans="1:19">
      <c r="A118" t="s">
        <v>202</v>
      </c>
      <c r="B118" s="2">
        <v>46110</v>
      </c>
      <c r="C118" t="s">
        <v>21</v>
      </c>
      <c r="D118" t="s">
        <v>22</v>
      </c>
      <c r="E118" t="s">
        <v>22</v>
      </c>
      <c r="F118" t="s">
        <v>66</v>
      </c>
      <c r="G118" t="s">
        <v>49</v>
      </c>
      <c r="H118" t="s">
        <v>25</v>
      </c>
      <c r="I118" t="s">
        <v>145</v>
      </c>
      <c r="J118" t="s">
        <v>52</v>
      </c>
      <c r="K118" t="s">
        <v>99</v>
      </c>
      <c r="L118" t="s">
        <v>40</v>
      </c>
      <c r="M118">
        <v>9</v>
      </c>
      <c r="N118" s="3">
        <v>74.2</v>
      </c>
      <c r="O118" s="4">
        <v>0</v>
      </c>
      <c r="P118" s="3">
        <v>9.9499999999999993</v>
      </c>
      <c r="Q118" t="s">
        <v>30</v>
      </c>
      <c r="R118">
        <v>4</v>
      </c>
      <c r="S118" t="s">
        <v>31</v>
      </c>
    </row>
    <row r="119" spans="1:19">
      <c r="A119" t="s">
        <v>346</v>
      </c>
      <c r="B119" s="2">
        <v>46110</v>
      </c>
      <c r="C119" t="s">
        <v>21</v>
      </c>
      <c r="D119" t="s">
        <v>80</v>
      </c>
      <c r="E119" t="s">
        <v>80</v>
      </c>
      <c r="F119" t="s">
        <v>123</v>
      </c>
      <c r="G119" t="s">
        <v>24</v>
      </c>
      <c r="H119" t="s">
        <v>77</v>
      </c>
      <c r="I119" t="s">
        <v>153</v>
      </c>
      <c r="J119" t="s">
        <v>27</v>
      </c>
      <c r="K119" t="s">
        <v>154</v>
      </c>
      <c r="L119" t="s">
        <v>46</v>
      </c>
      <c r="M119">
        <v>5</v>
      </c>
      <c r="N119" s="3">
        <v>761.22</v>
      </c>
      <c r="O119" s="4">
        <v>0.15</v>
      </c>
      <c r="P119" s="3">
        <v>24.95</v>
      </c>
      <c r="Q119" t="s">
        <v>30</v>
      </c>
      <c r="R119">
        <v>5</v>
      </c>
      <c r="S119" t="s">
        <v>68</v>
      </c>
    </row>
    <row r="120" spans="1:19">
      <c r="A120" t="s">
        <v>116</v>
      </c>
      <c r="B120" s="2">
        <v>46111</v>
      </c>
      <c r="C120" t="s">
        <v>21</v>
      </c>
      <c r="D120" t="s">
        <v>22</v>
      </c>
      <c r="E120" t="s">
        <v>22</v>
      </c>
      <c r="F120" t="s">
        <v>87</v>
      </c>
      <c r="G120" t="s">
        <v>44</v>
      </c>
      <c r="H120" t="s">
        <v>25</v>
      </c>
      <c r="I120" t="s">
        <v>98</v>
      </c>
      <c r="J120" t="s">
        <v>52</v>
      </c>
      <c r="K120" t="s">
        <v>99</v>
      </c>
      <c r="L120" t="s">
        <v>59</v>
      </c>
      <c r="M120">
        <v>5</v>
      </c>
      <c r="N120" s="3">
        <v>130.19999999999999</v>
      </c>
      <c r="O120" s="4">
        <v>0.05</v>
      </c>
      <c r="P120" s="3">
        <v>14.95</v>
      </c>
      <c r="Q120" t="s">
        <v>30</v>
      </c>
      <c r="R120">
        <v>4</v>
      </c>
      <c r="S120" t="s">
        <v>68</v>
      </c>
    </row>
    <row r="121" spans="1:19">
      <c r="A121" t="s">
        <v>223</v>
      </c>
      <c r="B121" s="2">
        <v>46111</v>
      </c>
      <c r="C121" t="s">
        <v>21</v>
      </c>
      <c r="D121" t="s">
        <v>22</v>
      </c>
      <c r="E121" t="s">
        <v>22</v>
      </c>
      <c r="F121" t="s">
        <v>66</v>
      </c>
      <c r="G121" t="s">
        <v>24</v>
      </c>
      <c r="H121" t="s">
        <v>50</v>
      </c>
      <c r="I121" t="s">
        <v>90</v>
      </c>
      <c r="J121" t="s">
        <v>27</v>
      </c>
      <c r="K121" t="s">
        <v>91</v>
      </c>
      <c r="L121" t="s">
        <v>67</v>
      </c>
      <c r="M121">
        <v>9</v>
      </c>
      <c r="N121" s="3">
        <v>187.63</v>
      </c>
      <c r="O121" s="4">
        <v>0</v>
      </c>
      <c r="P121" s="3">
        <v>14.95</v>
      </c>
      <c r="Q121" t="s">
        <v>30</v>
      </c>
      <c r="R121">
        <v>5</v>
      </c>
      <c r="S121" t="s">
        <v>31</v>
      </c>
    </row>
    <row r="122" spans="1:19">
      <c r="A122" t="s">
        <v>131</v>
      </c>
      <c r="B122" s="2">
        <v>46112</v>
      </c>
      <c r="C122" t="s">
        <v>21</v>
      </c>
      <c r="D122" t="s">
        <v>22</v>
      </c>
      <c r="E122" t="s">
        <v>22</v>
      </c>
      <c r="F122" t="s">
        <v>94</v>
      </c>
      <c r="G122" t="s">
        <v>24</v>
      </c>
      <c r="H122" t="s">
        <v>25</v>
      </c>
      <c r="I122" t="s">
        <v>125</v>
      </c>
      <c r="J122" t="s">
        <v>38</v>
      </c>
      <c r="K122" t="s">
        <v>39</v>
      </c>
      <c r="L122" t="s">
        <v>54</v>
      </c>
      <c r="M122">
        <v>2</v>
      </c>
      <c r="N122" s="3">
        <v>17.7</v>
      </c>
      <c r="O122" s="4">
        <v>0.3</v>
      </c>
      <c r="P122" s="3">
        <v>0</v>
      </c>
      <c r="Q122" t="s">
        <v>30</v>
      </c>
      <c r="R122">
        <v>4</v>
      </c>
      <c r="S122" t="s">
        <v>31</v>
      </c>
    </row>
    <row r="123" spans="1:19">
      <c r="A123" t="s">
        <v>279</v>
      </c>
      <c r="B123" s="2">
        <v>46112</v>
      </c>
      <c r="C123" t="s">
        <v>21</v>
      </c>
      <c r="D123" t="s">
        <v>22</v>
      </c>
      <c r="E123" t="s">
        <v>22</v>
      </c>
      <c r="F123" t="s">
        <v>66</v>
      </c>
      <c r="G123" t="s">
        <v>44</v>
      </c>
      <c r="H123" t="s">
        <v>25</v>
      </c>
      <c r="I123" t="s">
        <v>78</v>
      </c>
      <c r="J123" t="s">
        <v>27</v>
      </c>
      <c r="K123" t="s">
        <v>28</v>
      </c>
      <c r="L123" t="s">
        <v>46</v>
      </c>
      <c r="M123">
        <v>2</v>
      </c>
      <c r="N123" s="3">
        <v>15.47</v>
      </c>
      <c r="O123" s="4">
        <v>0.05</v>
      </c>
      <c r="P123" s="3">
        <v>14.95</v>
      </c>
      <c r="Q123" t="s">
        <v>30</v>
      </c>
      <c r="R123">
        <v>2</v>
      </c>
      <c r="S123" t="s">
        <v>68</v>
      </c>
    </row>
    <row r="124" spans="1:19">
      <c r="A124" t="s">
        <v>86</v>
      </c>
      <c r="B124" s="2">
        <v>46113</v>
      </c>
      <c r="C124" t="s">
        <v>71</v>
      </c>
      <c r="D124" t="s">
        <v>22</v>
      </c>
      <c r="E124" t="s">
        <v>22</v>
      </c>
      <c r="F124" t="s">
        <v>87</v>
      </c>
      <c r="G124" t="s">
        <v>49</v>
      </c>
      <c r="H124" t="s">
        <v>50</v>
      </c>
      <c r="I124" t="s">
        <v>26</v>
      </c>
      <c r="J124" t="s">
        <v>27</v>
      </c>
      <c r="K124" t="s">
        <v>28</v>
      </c>
      <c r="L124" t="s">
        <v>67</v>
      </c>
      <c r="M124">
        <v>3</v>
      </c>
      <c r="N124" s="3">
        <v>68.64</v>
      </c>
      <c r="O124" s="4">
        <v>0.1</v>
      </c>
      <c r="P124" s="3">
        <v>24.95</v>
      </c>
      <c r="Q124" t="s">
        <v>30</v>
      </c>
      <c r="R124">
        <v>5</v>
      </c>
      <c r="S124" t="s">
        <v>31</v>
      </c>
    </row>
    <row r="125" spans="1:19">
      <c r="A125" t="s">
        <v>263</v>
      </c>
      <c r="B125" s="2">
        <v>46113</v>
      </c>
      <c r="C125" t="s">
        <v>71</v>
      </c>
      <c r="D125" t="s">
        <v>22</v>
      </c>
      <c r="E125" t="s">
        <v>22</v>
      </c>
      <c r="F125" t="s">
        <v>23</v>
      </c>
      <c r="G125" t="s">
        <v>44</v>
      </c>
      <c r="H125" t="s">
        <v>25</v>
      </c>
      <c r="I125" t="s">
        <v>114</v>
      </c>
      <c r="J125" t="s">
        <v>52</v>
      </c>
      <c r="K125" t="s">
        <v>115</v>
      </c>
      <c r="L125" t="s">
        <v>82</v>
      </c>
      <c r="M125">
        <v>2</v>
      </c>
      <c r="N125" s="3">
        <v>270.63</v>
      </c>
      <c r="O125" s="4">
        <v>0.05</v>
      </c>
      <c r="P125" s="3">
        <v>19.95</v>
      </c>
      <c r="Q125" t="s">
        <v>30</v>
      </c>
      <c r="R125">
        <v>4</v>
      </c>
      <c r="S125" t="s">
        <v>68</v>
      </c>
    </row>
    <row r="126" spans="1:19">
      <c r="A126" t="s">
        <v>211</v>
      </c>
      <c r="B126" s="2">
        <v>46114</v>
      </c>
      <c r="C126" t="s">
        <v>71</v>
      </c>
      <c r="D126" t="s">
        <v>22</v>
      </c>
      <c r="E126" t="s">
        <v>22</v>
      </c>
      <c r="F126" t="s">
        <v>94</v>
      </c>
      <c r="G126" t="s">
        <v>24</v>
      </c>
      <c r="H126" t="s">
        <v>25</v>
      </c>
      <c r="I126" t="s">
        <v>56</v>
      </c>
      <c r="J126" t="s">
        <v>57</v>
      </c>
      <c r="K126" t="s">
        <v>58</v>
      </c>
      <c r="L126" t="s">
        <v>40</v>
      </c>
      <c r="M126">
        <v>6</v>
      </c>
      <c r="N126" s="3">
        <v>24.46</v>
      </c>
      <c r="O126" s="4">
        <v>0.15</v>
      </c>
      <c r="P126" s="3">
        <v>9.9499999999999993</v>
      </c>
      <c r="Q126" t="s">
        <v>30</v>
      </c>
      <c r="R126">
        <v>5</v>
      </c>
      <c r="S126" t="s">
        <v>41</v>
      </c>
    </row>
    <row r="127" spans="1:19">
      <c r="A127" t="s">
        <v>353</v>
      </c>
      <c r="B127" s="2">
        <v>46114</v>
      </c>
      <c r="C127" t="s">
        <v>71</v>
      </c>
      <c r="D127" t="s">
        <v>75</v>
      </c>
      <c r="E127" t="s">
        <v>75</v>
      </c>
      <c r="F127" t="s">
        <v>84</v>
      </c>
      <c r="G127" t="s">
        <v>49</v>
      </c>
      <c r="H127" t="s">
        <v>77</v>
      </c>
      <c r="I127" t="s">
        <v>127</v>
      </c>
      <c r="J127" t="s">
        <v>57</v>
      </c>
      <c r="K127" t="s">
        <v>58</v>
      </c>
      <c r="L127" t="s">
        <v>29</v>
      </c>
      <c r="M127">
        <v>5</v>
      </c>
      <c r="N127" s="3">
        <v>5.35</v>
      </c>
      <c r="O127" s="4">
        <v>0.2</v>
      </c>
      <c r="P127" s="3">
        <v>14.95</v>
      </c>
      <c r="Q127" t="s">
        <v>30</v>
      </c>
      <c r="R127">
        <v>4</v>
      </c>
      <c r="S127" t="s">
        <v>68</v>
      </c>
    </row>
    <row r="128" spans="1:19">
      <c r="A128" t="s">
        <v>217</v>
      </c>
      <c r="B128" s="2">
        <v>46115</v>
      </c>
      <c r="C128" t="s">
        <v>71</v>
      </c>
      <c r="D128" t="s">
        <v>22</v>
      </c>
      <c r="E128" t="s">
        <v>22</v>
      </c>
      <c r="F128" t="s">
        <v>23</v>
      </c>
      <c r="G128" t="s">
        <v>49</v>
      </c>
      <c r="H128" t="s">
        <v>77</v>
      </c>
      <c r="I128" t="s">
        <v>78</v>
      </c>
      <c r="J128" t="s">
        <v>27</v>
      </c>
      <c r="K128" t="s">
        <v>28</v>
      </c>
      <c r="L128" t="s">
        <v>40</v>
      </c>
      <c r="M128">
        <v>3</v>
      </c>
      <c r="N128" s="3">
        <v>17.3</v>
      </c>
      <c r="O128" s="4">
        <v>0.1</v>
      </c>
      <c r="P128" s="3">
        <v>9.9499999999999993</v>
      </c>
      <c r="Q128" t="s">
        <v>30</v>
      </c>
      <c r="R128">
        <v>4</v>
      </c>
      <c r="S128" t="s">
        <v>63</v>
      </c>
    </row>
    <row r="129" spans="1:20">
      <c r="A129" t="s">
        <v>272</v>
      </c>
      <c r="B129" s="2">
        <v>46115</v>
      </c>
      <c r="C129" t="s">
        <v>71</v>
      </c>
      <c r="D129" t="s">
        <v>80</v>
      </c>
      <c r="E129" t="s">
        <v>80</v>
      </c>
      <c r="F129" t="s">
        <v>133</v>
      </c>
      <c r="G129" t="s">
        <v>44</v>
      </c>
      <c r="H129" t="s">
        <v>25</v>
      </c>
      <c r="I129" t="s">
        <v>145</v>
      </c>
      <c r="J129" t="s">
        <v>52</v>
      </c>
      <c r="K129" t="s">
        <v>99</v>
      </c>
      <c r="L129" t="s">
        <v>59</v>
      </c>
      <c r="M129">
        <v>2</v>
      </c>
      <c r="N129" s="3">
        <v>79.34</v>
      </c>
      <c r="O129" s="4">
        <v>0.1</v>
      </c>
      <c r="P129" s="3">
        <v>5.95</v>
      </c>
      <c r="Q129" t="s">
        <v>30</v>
      </c>
      <c r="R129">
        <v>4</v>
      </c>
      <c r="S129" t="s">
        <v>41</v>
      </c>
    </row>
    <row r="130" spans="1:20">
      <c r="A130" t="s">
        <v>199</v>
      </c>
      <c r="B130" s="2">
        <v>46116</v>
      </c>
      <c r="C130" t="s">
        <v>71</v>
      </c>
      <c r="D130" t="s">
        <v>80</v>
      </c>
      <c r="E130" t="s">
        <v>80</v>
      </c>
      <c r="F130" t="s">
        <v>123</v>
      </c>
      <c r="G130" t="s">
        <v>49</v>
      </c>
      <c r="H130" t="s">
        <v>50</v>
      </c>
      <c r="I130" t="s">
        <v>37</v>
      </c>
      <c r="J130" t="s">
        <v>38</v>
      </c>
      <c r="K130" t="s">
        <v>39</v>
      </c>
      <c r="L130" t="s">
        <v>67</v>
      </c>
      <c r="M130">
        <v>2</v>
      </c>
      <c r="N130" s="3">
        <v>6.07</v>
      </c>
      <c r="O130" s="4">
        <v>0.05</v>
      </c>
      <c r="P130" s="3">
        <v>9.9499999999999993</v>
      </c>
      <c r="Q130" t="s">
        <v>30</v>
      </c>
      <c r="R130">
        <v>3</v>
      </c>
      <c r="S130" t="s">
        <v>41</v>
      </c>
    </row>
    <row r="131" spans="1:20">
      <c r="A131" t="s">
        <v>100</v>
      </c>
      <c r="B131" s="2">
        <v>46117</v>
      </c>
      <c r="C131" t="s">
        <v>71</v>
      </c>
      <c r="D131" t="s">
        <v>101</v>
      </c>
      <c r="E131" t="s">
        <v>101</v>
      </c>
      <c r="F131" t="s">
        <v>102</v>
      </c>
      <c r="G131" t="s">
        <v>49</v>
      </c>
      <c r="H131" t="s">
        <v>50</v>
      </c>
      <c r="I131" t="s">
        <v>56</v>
      </c>
      <c r="J131" t="s">
        <v>57</v>
      </c>
      <c r="K131" t="s">
        <v>58</v>
      </c>
      <c r="L131" t="s">
        <v>67</v>
      </c>
      <c r="M131">
        <v>2</v>
      </c>
      <c r="N131" s="3">
        <v>24.74</v>
      </c>
      <c r="O131" s="4">
        <v>0.05</v>
      </c>
      <c r="P131" s="3">
        <v>9.9499999999999993</v>
      </c>
      <c r="Q131" t="s">
        <v>30</v>
      </c>
      <c r="R131">
        <v>3</v>
      </c>
      <c r="S131" t="s">
        <v>31</v>
      </c>
    </row>
    <row r="132" spans="1:20">
      <c r="A132" t="s">
        <v>245</v>
      </c>
      <c r="B132" s="2">
        <v>46117</v>
      </c>
      <c r="C132" t="s">
        <v>71</v>
      </c>
      <c r="D132" t="s">
        <v>34</v>
      </c>
      <c r="E132" t="s">
        <v>34</v>
      </c>
      <c r="F132" t="s">
        <v>105</v>
      </c>
      <c r="G132" t="s">
        <v>44</v>
      </c>
      <c r="H132" t="s">
        <v>36</v>
      </c>
      <c r="I132" t="s">
        <v>26</v>
      </c>
      <c r="J132" t="s">
        <v>27</v>
      </c>
      <c r="K132" t="s">
        <v>28</v>
      </c>
      <c r="L132" t="s">
        <v>29</v>
      </c>
      <c r="M132">
        <v>4</v>
      </c>
      <c r="N132" s="3">
        <v>57.43</v>
      </c>
      <c r="O132" s="4">
        <v>0</v>
      </c>
      <c r="P132" s="3">
        <v>24.95</v>
      </c>
      <c r="Q132" t="s">
        <v>85</v>
      </c>
      <c r="R132">
        <v>2</v>
      </c>
      <c r="S132" t="s">
        <v>31</v>
      </c>
    </row>
    <row r="133" spans="1:20">
      <c r="A133" t="s">
        <v>352</v>
      </c>
      <c r="B133" s="2">
        <v>46121</v>
      </c>
      <c r="C133" t="s">
        <v>71</v>
      </c>
      <c r="D133" t="s">
        <v>22</v>
      </c>
      <c r="E133" t="s">
        <v>22</v>
      </c>
      <c r="F133" t="s">
        <v>94</v>
      </c>
      <c r="G133" t="s">
        <v>44</v>
      </c>
      <c r="H133" t="s">
        <v>50</v>
      </c>
      <c r="I133" t="s">
        <v>56</v>
      </c>
      <c r="J133" t="s">
        <v>57</v>
      </c>
      <c r="K133" t="s">
        <v>58</v>
      </c>
      <c r="L133" t="s">
        <v>59</v>
      </c>
      <c r="M133">
        <v>3</v>
      </c>
      <c r="N133" s="3">
        <v>24.34</v>
      </c>
      <c r="O133" s="4">
        <v>0</v>
      </c>
      <c r="P133" s="3">
        <v>0</v>
      </c>
      <c r="Q133" t="s">
        <v>30</v>
      </c>
      <c r="R133">
        <v>5</v>
      </c>
      <c r="S133" t="s">
        <v>31</v>
      </c>
    </row>
    <row r="134" spans="1:20">
      <c r="A134" t="s">
        <v>269</v>
      </c>
      <c r="B134" s="2">
        <v>46122</v>
      </c>
      <c r="C134" t="s">
        <v>71</v>
      </c>
      <c r="D134" t="s">
        <v>80</v>
      </c>
      <c r="E134" t="s">
        <v>80</v>
      </c>
      <c r="F134" t="s">
        <v>123</v>
      </c>
      <c r="G134" t="s">
        <v>24</v>
      </c>
      <c r="H134" t="s">
        <v>25</v>
      </c>
      <c r="I134" t="s">
        <v>45</v>
      </c>
      <c r="J134" t="s">
        <v>27</v>
      </c>
      <c r="K134" t="s">
        <v>28</v>
      </c>
      <c r="L134" t="s">
        <v>54</v>
      </c>
      <c r="M134">
        <v>2</v>
      </c>
      <c r="N134" s="3">
        <v>27.52</v>
      </c>
      <c r="O134" s="4">
        <v>0</v>
      </c>
      <c r="P134" s="3">
        <v>9.9499999999999993</v>
      </c>
      <c r="Q134" t="s">
        <v>30</v>
      </c>
      <c r="R134">
        <v>4</v>
      </c>
      <c r="S134" t="s">
        <v>63</v>
      </c>
    </row>
    <row r="135" spans="1:20">
      <c r="A135" t="s">
        <v>292</v>
      </c>
      <c r="B135" s="2">
        <v>46124</v>
      </c>
      <c r="C135" t="s">
        <v>71</v>
      </c>
      <c r="D135" t="s">
        <v>101</v>
      </c>
      <c r="E135" t="s">
        <v>101</v>
      </c>
      <c r="F135" t="s">
        <v>110</v>
      </c>
      <c r="G135" t="s">
        <v>44</v>
      </c>
      <c r="H135" t="s">
        <v>77</v>
      </c>
      <c r="I135" t="s">
        <v>56</v>
      </c>
      <c r="J135" t="s">
        <v>57</v>
      </c>
      <c r="K135" t="s">
        <v>58</v>
      </c>
      <c r="L135" t="s">
        <v>92</v>
      </c>
      <c r="M135">
        <v>2</v>
      </c>
      <c r="N135" s="3">
        <v>24.71</v>
      </c>
      <c r="O135" s="4">
        <v>0</v>
      </c>
      <c r="P135" s="3">
        <v>9.9499999999999993</v>
      </c>
      <c r="Q135" t="s">
        <v>30</v>
      </c>
      <c r="R135">
        <v>5</v>
      </c>
      <c r="S135" t="s">
        <v>41</v>
      </c>
    </row>
    <row r="136" spans="1:20">
      <c r="A136" t="s">
        <v>113</v>
      </c>
      <c r="B136" s="2">
        <v>46125</v>
      </c>
      <c r="C136" t="s">
        <v>71</v>
      </c>
      <c r="D136" t="s">
        <v>22</v>
      </c>
      <c r="E136" t="s">
        <v>22</v>
      </c>
      <c r="F136" t="s">
        <v>66</v>
      </c>
      <c r="G136" t="s">
        <v>24</v>
      </c>
      <c r="H136" t="s">
        <v>25</v>
      </c>
      <c r="I136" t="s">
        <v>114</v>
      </c>
      <c r="J136" t="s">
        <v>52</v>
      </c>
      <c r="K136" t="s">
        <v>115</v>
      </c>
      <c r="L136" t="s">
        <v>46</v>
      </c>
      <c r="M136">
        <v>2</v>
      </c>
      <c r="N136" s="3">
        <v>330.14</v>
      </c>
      <c r="O136" s="4">
        <v>0</v>
      </c>
      <c r="P136" s="3">
        <v>24.95</v>
      </c>
      <c r="Q136" t="s">
        <v>30</v>
      </c>
      <c r="R136">
        <v>5</v>
      </c>
      <c r="S136" t="s">
        <v>31</v>
      </c>
    </row>
    <row r="137" spans="1:20">
      <c r="A137" t="s">
        <v>243</v>
      </c>
      <c r="B137" s="2">
        <v>46125</v>
      </c>
      <c r="C137" t="s">
        <v>71</v>
      </c>
      <c r="D137" t="s">
        <v>80</v>
      </c>
      <c r="E137" t="s">
        <v>80</v>
      </c>
      <c r="F137" t="s">
        <v>133</v>
      </c>
      <c r="G137" t="s">
        <v>44</v>
      </c>
      <c r="H137" t="s">
        <v>36</v>
      </c>
      <c r="I137" t="s">
        <v>111</v>
      </c>
      <c r="J137" t="s">
        <v>57</v>
      </c>
      <c r="K137" t="s">
        <v>112</v>
      </c>
      <c r="L137" t="s">
        <v>29</v>
      </c>
      <c r="M137">
        <v>5</v>
      </c>
      <c r="N137" s="3">
        <v>6.58</v>
      </c>
      <c r="O137" s="4">
        <v>0</v>
      </c>
      <c r="P137" s="3">
        <v>9.9499999999999993</v>
      </c>
      <c r="Q137" t="s">
        <v>85</v>
      </c>
      <c r="R137">
        <v>1</v>
      </c>
      <c r="S137" t="s">
        <v>63</v>
      </c>
    </row>
    <row r="138" spans="1:20">
      <c r="A138" t="s">
        <v>95</v>
      </c>
      <c r="B138" s="2">
        <v>46126</v>
      </c>
      <c r="C138" t="s">
        <v>71</v>
      </c>
      <c r="D138" t="s">
        <v>34</v>
      </c>
      <c r="E138" t="s">
        <v>34</v>
      </c>
      <c r="F138" t="s">
        <v>35</v>
      </c>
      <c r="G138" t="s">
        <v>44</v>
      </c>
      <c r="H138" t="s">
        <v>77</v>
      </c>
      <c r="I138" t="s">
        <v>78</v>
      </c>
      <c r="J138" t="s">
        <v>27</v>
      </c>
      <c r="K138" t="s">
        <v>28</v>
      </c>
      <c r="L138" t="s">
        <v>40</v>
      </c>
      <c r="M138">
        <v>1</v>
      </c>
      <c r="N138" s="3">
        <v>16.41</v>
      </c>
      <c r="O138" s="4">
        <v>0.1</v>
      </c>
      <c r="P138" s="3">
        <v>19.95</v>
      </c>
      <c r="Q138" t="s">
        <v>30</v>
      </c>
      <c r="R138">
        <v>5</v>
      </c>
      <c r="S138" t="s">
        <v>31</v>
      </c>
    </row>
    <row r="139" spans="1:20">
      <c r="A139" t="s">
        <v>291</v>
      </c>
      <c r="B139" s="2">
        <v>46126</v>
      </c>
      <c r="C139" t="s">
        <v>71</v>
      </c>
      <c r="D139" t="s">
        <v>80</v>
      </c>
      <c r="E139" t="s">
        <v>80</v>
      </c>
      <c r="F139" t="s">
        <v>133</v>
      </c>
      <c r="G139" t="s">
        <v>44</v>
      </c>
      <c r="H139" t="s">
        <v>25</v>
      </c>
      <c r="I139" t="s">
        <v>135</v>
      </c>
      <c r="J139" t="s">
        <v>57</v>
      </c>
      <c r="K139" t="s">
        <v>112</v>
      </c>
      <c r="L139" t="s">
        <v>67</v>
      </c>
      <c r="M139">
        <v>3</v>
      </c>
      <c r="N139" s="3">
        <v>3.51</v>
      </c>
      <c r="O139" s="4">
        <v>0.3</v>
      </c>
      <c r="P139" s="3">
        <v>9.9499999999999993</v>
      </c>
      <c r="Q139" t="s">
        <v>30</v>
      </c>
      <c r="R139">
        <v>2</v>
      </c>
      <c r="S139" t="s">
        <v>63</v>
      </c>
      <c r="T139" t="s">
        <v>143</v>
      </c>
    </row>
    <row r="140" spans="1:20">
      <c r="A140" t="s">
        <v>156</v>
      </c>
      <c r="B140" s="2">
        <v>46128</v>
      </c>
      <c r="C140" t="s">
        <v>71</v>
      </c>
      <c r="D140" t="s">
        <v>101</v>
      </c>
      <c r="E140" t="s">
        <v>101</v>
      </c>
      <c r="F140" t="s">
        <v>108</v>
      </c>
      <c r="G140" t="s">
        <v>44</v>
      </c>
      <c r="H140" t="s">
        <v>50</v>
      </c>
      <c r="I140" t="s">
        <v>26</v>
      </c>
      <c r="J140" t="s">
        <v>27</v>
      </c>
      <c r="K140" t="s">
        <v>28</v>
      </c>
      <c r="L140" t="s">
        <v>40</v>
      </c>
      <c r="M140">
        <v>5</v>
      </c>
      <c r="N140" s="3">
        <v>70.510000000000005</v>
      </c>
      <c r="O140" s="4">
        <v>0.15</v>
      </c>
      <c r="P140" s="3">
        <v>19.95</v>
      </c>
      <c r="Q140" t="s">
        <v>30</v>
      </c>
      <c r="R140">
        <v>4</v>
      </c>
      <c r="S140" t="s">
        <v>68</v>
      </c>
    </row>
    <row r="141" spans="1:20">
      <c r="A141" t="s">
        <v>297</v>
      </c>
      <c r="B141" s="2">
        <v>46128</v>
      </c>
      <c r="C141" t="s">
        <v>71</v>
      </c>
      <c r="D141" t="s">
        <v>34</v>
      </c>
      <c r="E141" t="s">
        <v>34</v>
      </c>
      <c r="F141" t="s">
        <v>35</v>
      </c>
      <c r="G141" t="s">
        <v>49</v>
      </c>
      <c r="H141" t="s">
        <v>36</v>
      </c>
      <c r="I141" t="s">
        <v>56</v>
      </c>
      <c r="J141" t="s">
        <v>57</v>
      </c>
      <c r="K141" t="s">
        <v>58</v>
      </c>
      <c r="L141" t="s">
        <v>40</v>
      </c>
      <c r="M141">
        <v>4</v>
      </c>
      <c r="N141" s="3">
        <v>24.75</v>
      </c>
      <c r="O141" s="4">
        <v>0</v>
      </c>
      <c r="P141" s="3">
        <v>0</v>
      </c>
      <c r="Q141" t="s">
        <v>30</v>
      </c>
      <c r="R141">
        <v>4</v>
      </c>
      <c r="S141" t="s">
        <v>63</v>
      </c>
    </row>
    <row r="142" spans="1:20">
      <c r="A142" t="s">
        <v>233</v>
      </c>
      <c r="B142" s="2">
        <v>46129</v>
      </c>
      <c r="C142" t="s">
        <v>71</v>
      </c>
      <c r="D142" t="s">
        <v>22</v>
      </c>
      <c r="E142" t="s">
        <v>22</v>
      </c>
      <c r="F142" t="s">
        <v>94</v>
      </c>
      <c r="G142" t="s">
        <v>44</v>
      </c>
      <c r="H142" t="s">
        <v>77</v>
      </c>
      <c r="I142" t="s">
        <v>56</v>
      </c>
      <c r="J142" t="s">
        <v>57</v>
      </c>
      <c r="K142" t="s">
        <v>58</v>
      </c>
      <c r="L142" t="s">
        <v>82</v>
      </c>
      <c r="M142">
        <v>4</v>
      </c>
      <c r="N142" s="3">
        <v>25.84</v>
      </c>
      <c r="O142" s="4">
        <v>0.1</v>
      </c>
      <c r="P142" s="3">
        <v>24.95</v>
      </c>
      <c r="Q142" t="s">
        <v>30</v>
      </c>
      <c r="R142">
        <v>2</v>
      </c>
      <c r="S142" t="s">
        <v>63</v>
      </c>
    </row>
    <row r="143" spans="1:20">
      <c r="A143" t="s">
        <v>186</v>
      </c>
      <c r="B143" s="2">
        <v>46132</v>
      </c>
      <c r="C143" t="s">
        <v>71</v>
      </c>
      <c r="D143" t="s">
        <v>34</v>
      </c>
      <c r="E143" t="s">
        <v>34</v>
      </c>
      <c r="F143" t="s">
        <v>35</v>
      </c>
      <c r="G143" t="s">
        <v>24</v>
      </c>
      <c r="H143" t="s">
        <v>77</v>
      </c>
      <c r="I143" t="s">
        <v>26</v>
      </c>
      <c r="J143" t="s">
        <v>27</v>
      </c>
      <c r="K143" t="s">
        <v>28</v>
      </c>
      <c r="L143" t="s">
        <v>46</v>
      </c>
      <c r="M143">
        <v>7</v>
      </c>
      <c r="N143" s="3">
        <v>74.349999999999994</v>
      </c>
      <c r="O143" s="4">
        <v>0.1</v>
      </c>
      <c r="P143" s="3">
        <v>9.9499999999999993</v>
      </c>
      <c r="Q143" t="s">
        <v>30</v>
      </c>
      <c r="R143">
        <v>5</v>
      </c>
      <c r="S143" t="s">
        <v>41</v>
      </c>
    </row>
    <row r="144" spans="1:20">
      <c r="A144" t="s">
        <v>330</v>
      </c>
      <c r="B144" s="2">
        <v>46132</v>
      </c>
      <c r="C144" t="s">
        <v>71</v>
      </c>
      <c r="D144" t="s">
        <v>22</v>
      </c>
      <c r="E144" t="s">
        <v>22</v>
      </c>
      <c r="F144" t="s">
        <v>94</v>
      </c>
      <c r="G144" t="s">
        <v>49</v>
      </c>
      <c r="H144" t="s">
        <v>50</v>
      </c>
      <c r="I144" t="s">
        <v>45</v>
      </c>
      <c r="J144" t="s">
        <v>27</v>
      </c>
      <c r="K144" t="s">
        <v>28</v>
      </c>
      <c r="L144" t="s">
        <v>67</v>
      </c>
      <c r="M144">
        <v>1</v>
      </c>
      <c r="N144" s="3">
        <v>35.090000000000003</v>
      </c>
      <c r="O144" s="4">
        <v>0.05</v>
      </c>
      <c r="P144" s="3">
        <v>0</v>
      </c>
      <c r="Q144" t="s">
        <v>30</v>
      </c>
      <c r="R144">
        <v>4</v>
      </c>
      <c r="S144" t="s">
        <v>63</v>
      </c>
    </row>
    <row r="145" spans="1:19">
      <c r="A145" t="s">
        <v>183</v>
      </c>
      <c r="B145" s="2">
        <v>46133</v>
      </c>
      <c r="C145" t="s">
        <v>71</v>
      </c>
      <c r="D145" t="s">
        <v>34</v>
      </c>
      <c r="E145" t="s">
        <v>34</v>
      </c>
      <c r="F145" t="s">
        <v>35</v>
      </c>
      <c r="G145" t="s">
        <v>44</v>
      </c>
      <c r="H145" t="s">
        <v>36</v>
      </c>
      <c r="I145" t="s">
        <v>61</v>
      </c>
      <c r="J145" t="s">
        <v>38</v>
      </c>
      <c r="K145" t="s">
        <v>62</v>
      </c>
      <c r="L145" t="s">
        <v>40</v>
      </c>
      <c r="M145">
        <v>3</v>
      </c>
      <c r="N145" s="3">
        <v>16.190000000000001</v>
      </c>
      <c r="O145" s="4">
        <v>0</v>
      </c>
      <c r="P145" s="3">
        <v>14.95</v>
      </c>
      <c r="Q145" t="s">
        <v>30</v>
      </c>
      <c r="R145">
        <v>4</v>
      </c>
      <c r="S145" t="s">
        <v>41</v>
      </c>
    </row>
    <row r="146" spans="1:19">
      <c r="A146" t="s">
        <v>206</v>
      </c>
      <c r="B146" s="2">
        <v>46134</v>
      </c>
      <c r="C146" t="s">
        <v>71</v>
      </c>
      <c r="D146" t="s">
        <v>75</v>
      </c>
      <c r="E146" t="s">
        <v>75</v>
      </c>
      <c r="F146" t="s">
        <v>149</v>
      </c>
      <c r="G146" t="s">
        <v>24</v>
      </c>
      <c r="H146" t="s">
        <v>36</v>
      </c>
      <c r="I146" t="s">
        <v>139</v>
      </c>
      <c r="J146" t="s">
        <v>57</v>
      </c>
      <c r="K146" t="s">
        <v>99</v>
      </c>
      <c r="L146" t="s">
        <v>40</v>
      </c>
      <c r="M146">
        <v>1</v>
      </c>
      <c r="N146" s="3">
        <v>13.64</v>
      </c>
      <c r="O146" s="4">
        <v>0.15</v>
      </c>
      <c r="P146" s="3">
        <v>9.9499999999999993</v>
      </c>
      <c r="Q146" t="s">
        <v>85</v>
      </c>
      <c r="R146">
        <v>3</v>
      </c>
      <c r="S146" t="s">
        <v>31</v>
      </c>
    </row>
    <row r="147" spans="1:19">
      <c r="A147" t="s">
        <v>158</v>
      </c>
      <c r="B147" s="2">
        <v>46135</v>
      </c>
      <c r="C147" t="s">
        <v>71</v>
      </c>
      <c r="D147" t="s">
        <v>80</v>
      </c>
      <c r="E147" t="s">
        <v>80</v>
      </c>
      <c r="F147" t="s">
        <v>97</v>
      </c>
      <c r="G147" t="s">
        <v>49</v>
      </c>
      <c r="H147" t="s">
        <v>25</v>
      </c>
      <c r="I147" t="s">
        <v>98</v>
      </c>
      <c r="J147" t="s">
        <v>52</v>
      </c>
      <c r="K147" t="s">
        <v>99</v>
      </c>
      <c r="L147" t="s">
        <v>59</v>
      </c>
      <c r="M147">
        <v>7</v>
      </c>
      <c r="N147" s="3">
        <v>114.83</v>
      </c>
      <c r="O147" s="4">
        <v>0.1</v>
      </c>
      <c r="P147" s="3">
        <v>14.95</v>
      </c>
      <c r="Q147" t="s">
        <v>30</v>
      </c>
      <c r="R147">
        <v>5</v>
      </c>
      <c r="S147" t="s">
        <v>68</v>
      </c>
    </row>
    <row r="148" spans="1:19">
      <c r="A148" t="s">
        <v>273</v>
      </c>
      <c r="B148" s="2">
        <v>46135</v>
      </c>
      <c r="C148" t="s">
        <v>71</v>
      </c>
      <c r="D148" t="s">
        <v>101</v>
      </c>
      <c r="E148" t="s">
        <v>101</v>
      </c>
      <c r="F148" t="s">
        <v>108</v>
      </c>
      <c r="G148" t="s">
        <v>49</v>
      </c>
      <c r="H148" t="s">
        <v>77</v>
      </c>
      <c r="I148" t="s">
        <v>135</v>
      </c>
      <c r="J148" t="s">
        <v>57</v>
      </c>
      <c r="K148" t="s">
        <v>112</v>
      </c>
      <c r="L148" t="s">
        <v>92</v>
      </c>
      <c r="M148">
        <v>2</v>
      </c>
      <c r="N148" s="3">
        <v>3.71</v>
      </c>
      <c r="O148" s="4">
        <v>0.2</v>
      </c>
      <c r="P148" s="3">
        <v>19.95</v>
      </c>
      <c r="Q148" t="s">
        <v>30</v>
      </c>
      <c r="R148">
        <v>5</v>
      </c>
      <c r="S148" t="s">
        <v>41</v>
      </c>
    </row>
    <row r="149" spans="1:19">
      <c r="A149" t="s">
        <v>288</v>
      </c>
      <c r="B149" s="2">
        <v>46135</v>
      </c>
      <c r="C149" t="s">
        <v>71</v>
      </c>
      <c r="D149" t="s">
        <v>22</v>
      </c>
      <c r="E149" t="s">
        <v>22</v>
      </c>
      <c r="F149" t="s">
        <v>94</v>
      </c>
      <c r="G149" t="s">
        <v>49</v>
      </c>
      <c r="H149" t="s">
        <v>36</v>
      </c>
      <c r="I149" t="s">
        <v>139</v>
      </c>
      <c r="J149" t="s">
        <v>57</v>
      </c>
      <c r="K149" t="s">
        <v>99</v>
      </c>
      <c r="L149" t="s">
        <v>54</v>
      </c>
      <c r="M149">
        <v>7</v>
      </c>
      <c r="N149" s="3">
        <v>12.49</v>
      </c>
      <c r="O149" s="4">
        <v>0.15</v>
      </c>
      <c r="P149" s="3">
        <v>14.95</v>
      </c>
      <c r="Q149" t="s">
        <v>30</v>
      </c>
      <c r="R149">
        <v>5</v>
      </c>
      <c r="S149" t="s">
        <v>31</v>
      </c>
    </row>
    <row r="150" spans="1:19">
      <c r="A150" t="s">
        <v>196</v>
      </c>
      <c r="B150" s="2">
        <v>46136</v>
      </c>
      <c r="C150" t="s">
        <v>71</v>
      </c>
      <c r="D150" t="s">
        <v>80</v>
      </c>
      <c r="E150" t="s">
        <v>80</v>
      </c>
      <c r="F150" t="s">
        <v>81</v>
      </c>
      <c r="G150" t="s">
        <v>24</v>
      </c>
      <c r="H150" t="s">
        <v>25</v>
      </c>
      <c r="I150" t="s">
        <v>45</v>
      </c>
      <c r="J150" t="s">
        <v>27</v>
      </c>
      <c r="K150" t="s">
        <v>28</v>
      </c>
      <c r="L150" t="s">
        <v>40</v>
      </c>
      <c r="M150">
        <v>4</v>
      </c>
      <c r="N150" s="3">
        <v>34.700000000000003</v>
      </c>
      <c r="O150" s="4">
        <v>0.05</v>
      </c>
      <c r="P150" s="3">
        <v>0</v>
      </c>
      <c r="Q150" t="s">
        <v>30</v>
      </c>
      <c r="R150">
        <v>2</v>
      </c>
      <c r="S150" t="s">
        <v>41</v>
      </c>
    </row>
    <row r="151" spans="1:19">
      <c r="A151" t="s">
        <v>208</v>
      </c>
      <c r="B151" s="2">
        <v>46137</v>
      </c>
      <c r="C151" t="s">
        <v>71</v>
      </c>
      <c r="D151" t="s">
        <v>34</v>
      </c>
      <c r="E151" t="s">
        <v>34</v>
      </c>
      <c r="F151" t="s">
        <v>190</v>
      </c>
      <c r="G151" t="s">
        <v>24</v>
      </c>
      <c r="H151" t="s">
        <v>50</v>
      </c>
      <c r="I151" t="s">
        <v>45</v>
      </c>
      <c r="J151" t="s">
        <v>27</v>
      </c>
      <c r="K151" t="s">
        <v>28</v>
      </c>
      <c r="L151" t="s">
        <v>29</v>
      </c>
      <c r="M151">
        <v>4</v>
      </c>
      <c r="N151" s="3">
        <v>30.33</v>
      </c>
      <c r="O151" s="4">
        <v>0</v>
      </c>
      <c r="P151" s="3">
        <v>5.95</v>
      </c>
      <c r="Q151" t="s">
        <v>30</v>
      </c>
      <c r="R151">
        <v>5</v>
      </c>
      <c r="S151" t="s">
        <v>41</v>
      </c>
    </row>
    <row r="152" spans="1:19">
      <c r="A152" t="s">
        <v>278</v>
      </c>
      <c r="B152" s="2">
        <v>46137</v>
      </c>
      <c r="C152" t="s">
        <v>71</v>
      </c>
      <c r="D152" t="s">
        <v>80</v>
      </c>
      <c r="E152" t="s">
        <v>80</v>
      </c>
      <c r="F152" t="s">
        <v>123</v>
      </c>
      <c r="G152" t="s">
        <v>44</v>
      </c>
      <c r="H152" t="s">
        <v>25</v>
      </c>
      <c r="I152" t="s">
        <v>114</v>
      </c>
      <c r="J152" t="s">
        <v>52</v>
      </c>
      <c r="K152" t="s">
        <v>115</v>
      </c>
      <c r="L152" t="s">
        <v>46</v>
      </c>
      <c r="M152">
        <v>2</v>
      </c>
      <c r="N152" s="3">
        <v>294.04000000000002</v>
      </c>
      <c r="O152" s="4">
        <v>0.1</v>
      </c>
      <c r="P152" s="3">
        <v>5.95</v>
      </c>
      <c r="Q152" t="s">
        <v>30</v>
      </c>
      <c r="R152">
        <v>3</v>
      </c>
      <c r="S152" t="s">
        <v>63</v>
      </c>
    </row>
    <row r="153" spans="1:19">
      <c r="A153" t="s">
        <v>198</v>
      </c>
      <c r="B153" s="2">
        <v>46138</v>
      </c>
      <c r="C153" t="s">
        <v>71</v>
      </c>
      <c r="D153" t="s">
        <v>22</v>
      </c>
      <c r="E153" t="s">
        <v>22</v>
      </c>
      <c r="F153" t="s">
        <v>94</v>
      </c>
      <c r="G153" t="s">
        <v>24</v>
      </c>
      <c r="H153" t="s">
        <v>77</v>
      </c>
      <c r="I153" t="s">
        <v>37</v>
      </c>
      <c r="J153" t="s">
        <v>38</v>
      </c>
      <c r="K153" t="s">
        <v>39</v>
      </c>
      <c r="L153" t="s">
        <v>92</v>
      </c>
      <c r="M153">
        <v>1</v>
      </c>
      <c r="N153" s="3">
        <v>6.49</v>
      </c>
      <c r="O153" s="4">
        <v>0</v>
      </c>
      <c r="P153" s="3">
        <v>24.95</v>
      </c>
      <c r="Q153" t="s">
        <v>30</v>
      </c>
      <c r="R153">
        <v>4</v>
      </c>
      <c r="S153" t="s">
        <v>63</v>
      </c>
    </row>
    <row r="154" spans="1:19">
      <c r="A154" t="s">
        <v>314</v>
      </c>
      <c r="B154" s="2">
        <v>46138</v>
      </c>
      <c r="C154" t="s">
        <v>71</v>
      </c>
      <c r="D154" t="s">
        <v>22</v>
      </c>
      <c r="E154" t="s">
        <v>22</v>
      </c>
      <c r="F154" t="s">
        <v>87</v>
      </c>
      <c r="G154" t="s">
        <v>24</v>
      </c>
      <c r="H154" t="s">
        <v>77</v>
      </c>
      <c r="I154" t="s">
        <v>90</v>
      </c>
      <c r="J154" t="s">
        <v>27</v>
      </c>
      <c r="K154" t="s">
        <v>91</v>
      </c>
      <c r="L154" t="s">
        <v>29</v>
      </c>
      <c r="M154">
        <v>4</v>
      </c>
      <c r="N154" s="3">
        <v>179.22</v>
      </c>
      <c r="O154" s="4">
        <v>0</v>
      </c>
      <c r="P154" s="3">
        <v>5.95</v>
      </c>
      <c r="Q154" t="s">
        <v>30</v>
      </c>
      <c r="R154">
        <v>3</v>
      </c>
      <c r="S154" t="s">
        <v>63</v>
      </c>
    </row>
    <row r="155" spans="1:19">
      <c r="A155" t="s">
        <v>350</v>
      </c>
      <c r="B155" s="2">
        <v>46138</v>
      </c>
      <c r="C155" t="s">
        <v>71</v>
      </c>
      <c r="D155" t="s">
        <v>34</v>
      </c>
      <c r="E155" t="s">
        <v>34</v>
      </c>
      <c r="F155" t="s">
        <v>48</v>
      </c>
      <c r="G155" t="s">
        <v>24</v>
      </c>
      <c r="H155" t="s">
        <v>36</v>
      </c>
      <c r="I155" t="s">
        <v>127</v>
      </c>
      <c r="J155" t="s">
        <v>57</v>
      </c>
      <c r="K155" t="s">
        <v>58</v>
      </c>
      <c r="L155" t="s">
        <v>59</v>
      </c>
      <c r="M155">
        <v>2</v>
      </c>
      <c r="N155" s="3">
        <v>5.7</v>
      </c>
      <c r="O155" s="4">
        <v>0</v>
      </c>
      <c r="P155" s="3">
        <v>5.95</v>
      </c>
      <c r="Q155" t="s">
        <v>30</v>
      </c>
      <c r="R155">
        <v>4</v>
      </c>
      <c r="S155" t="s">
        <v>63</v>
      </c>
    </row>
    <row r="156" spans="1:19">
      <c r="A156" t="s">
        <v>70</v>
      </c>
      <c r="B156" s="2">
        <v>46139</v>
      </c>
      <c r="C156" t="s">
        <v>71</v>
      </c>
      <c r="D156" t="s">
        <v>22</v>
      </c>
      <c r="E156" t="s">
        <v>22</v>
      </c>
      <c r="F156" t="s">
        <v>66</v>
      </c>
      <c r="G156" t="s">
        <v>49</v>
      </c>
      <c r="H156" t="s">
        <v>50</v>
      </c>
      <c r="I156" t="s">
        <v>26</v>
      </c>
      <c r="J156" t="s">
        <v>27</v>
      </c>
      <c r="K156" t="s">
        <v>28</v>
      </c>
      <c r="L156" t="s">
        <v>29</v>
      </c>
      <c r="M156">
        <v>1</v>
      </c>
      <c r="N156" s="3">
        <v>70.599999999999994</v>
      </c>
      <c r="O156" s="4">
        <v>0.3</v>
      </c>
      <c r="P156" s="3">
        <v>5.95</v>
      </c>
      <c r="Q156" t="s">
        <v>30</v>
      </c>
      <c r="R156">
        <v>4</v>
      </c>
      <c r="S156" t="s">
        <v>31</v>
      </c>
    </row>
    <row r="157" spans="1:19">
      <c r="A157" t="s">
        <v>173</v>
      </c>
      <c r="B157" s="2">
        <v>46139</v>
      </c>
      <c r="C157" t="s">
        <v>71</v>
      </c>
      <c r="D157" t="s">
        <v>22</v>
      </c>
      <c r="E157" t="s">
        <v>22</v>
      </c>
      <c r="F157" t="s">
        <v>94</v>
      </c>
      <c r="G157" t="s">
        <v>49</v>
      </c>
      <c r="H157" t="s">
        <v>77</v>
      </c>
      <c r="I157" t="s">
        <v>174</v>
      </c>
      <c r="J157" t="s">
        <v>27</v>
      </c>
      <c r="K157" t="s">
        <v>154</v>
      </c>
      <c r="L157" t="s">
        <v>92</v>
      </c>
      <c r="M157">
        <v>2</v>
      </c>
      <c r="N157" s="3">
        <v>1064.73</v>
      </c>
      <c r="O157" s="4">
        <v>0.05</v>
      </c>
      <c r="P157" s="3">
        <v>24.95</v>
      </c>
      <c r="Q157" t="s">
        <v>85</v>
      </c>
      <c r="R157">
        <v>1</v>
      </c>
      <c r="S157" t="s">
        <v>68</v>
      </c>
    </row>
    <row r="158" spans="1:19">
      <c r="A158" t="s">
        <v>178</v>
      </c>
      <c r="B158" s="2">
        <v>46139</v>
      </c>
      <c r="C158" t="s">
        <v>71</v>
      </c>
      <c r="D158" t="s">
        <v>22</v>
      </c>
      <c r="E158" t="s">
        <v>22</v>
      </c>
      <c r="F158" t="s">
        <v>94</v>
      </c>
      <c r="G158" t="s">
        <v>24</v>
      </c>
      <c r="H158" t="s">
        <v>77</v>
      </c>
      <c r="I158" t="s">
        <v>135</v>
      </c>
      <c r="J158" t="s">
        <v>57</v>
      </c>
      <c r="K158" t="s">
        <v>112</v>
      </c>
      <c r="L158" t="s">
        <v>29</v>
      </c>
      <c r="M158">
        <v>1</v>
      </c>
      <c r="N158" s="3">
        <v>3.49</v>
      </c>
      <c r="O158" s="4">
        <v>0.1</v>
      </c>
      <c r="P158" s="3">
        <v>0</v>
      </c>
      <c r="Q158" t="s">
        <v>30</v>
      </c>
      <c r="R158">
        <v>5</v>
      </c>
      <c r="S158" t="s">
        <v>68</v>
      </c>
    </row>
    <row r="159" spans="1:19">
      <c r="A159" t="s">
        <v>96</v>
      </c>
      <c r="B159" s="2">
        <v>46140</v>
      </c>
      <c r="C159" t="s">
        <v>71</v>
      </c>
      <c r="D159" t="s">
        <v>80</v>
      </c>
      <c r="E159" t="s">
        <v>80</v>
      </c>
      <c r="F159" t="s">
        <v>97</v>
      </c>
      <c r="G159" t="s">
        <v>49</v>
      </c>
      <c r="H159" t="s">
        <v>77</v>
      </c>
      <c r="I159" t="s">
        <v>98</v>
      </c>
      <c r="J159" t="s">
        <v>52</v>
      </c>
      <c r="K159" t="s">
        <v>99</v>
      </c>
      <c r="L159" t="s">
        <v>46</v>
      </c>
      <c r="M159">
        <v>2</v>
      </c>
      <c r="N159" s="3">
        <v>120.18</v>
      </c>
      <c r="O159" s="4">
        <v>0.05</v>
      </c>
      <c r="P159" s="3">
        <v>19.95</v>
      </c>
      <c r="Q159" t="s">
        <v>85</v>
      </c>
      <c r="R159">
        <v>1</v>
      </c>
      <c r="S159" t="s">
        <v>31</v>
      </c>
    </row>
    <row r="160" spans="1:19">
      <c r="A160" t="s">
        <v>130</v>
      </c>
      <c r="B160" s="2">
        <v>46141</v>
      </c>
      <c r="C160" t="s">
        <v>71</v>
      </c>
      <c r="D160" t="s">
        <v>34</v>
      </c>
      <c r="E160" t="s">
        <v>34</v>
      </c>
      <c r="F160" t="s">
        <v>35</v>
      </c>
      <c r="G160" t="s">
        <v>44</v>
      </c>
      <c r="H160" t="s">
        <v>36</v>
      </c>
      <c r="I160" t="s">
        <v>78</v>
      </c>
      <c r="J160" t="s">
        <v>27</v>
      </c>
      <c r="K160" t="s">
        <v>28</v>
      </c>
      <c r="L160" t="s">
        <v>46</v>
      </c>
      <c r="M160">
        <v>1</v>
      </c>
      <c r="N160" s="3">
        <v>15.6</v>
      </c>
      <c r="O160" s="4">
        <v>0.05</v>
      </c>
      <c r="P160" s="3">
        <v>9.9499999999999993</v>
      </c>
      <c r="Q160" t="s">
        <v>30</v>
      </c>
      <c r="R160">
        <v>5</v>
      </c>
      <c r="S160" t="s">
        <v>68</v>
      </c>
    </row>
    <row r="161" spans="1:20">
      <c r="A161" t="s">
        <v>159</v>
      </c>
      <c r="B161" s="2">
        <v>46141</v>
      </c>
      <c r="C161" t="s">
        <v>71</v>
      </c>
      <c r="D161" t="s">
        <v>75</v>
      </c>
      <c r="E161" t="s">
        <v>75</v>
      </c>
      <c r="F161" t="s">
        <v>149</v>
      </c>
      <c r="G161" t="s">
        <v>44</v>
      </c>
      <c r="H161" t="s">
        <v>36</v>
      </c>
      <c r="I161" t="s">
        <v>114</v>
      </c>
      <c r="J161" t="s">
        <v>52</v>
      </c>
      <c r="K161" t="s">
        <v>115</v>
      </c>
      <c r="L161" t="s">
        <v>92</v>
      </c>
      <c r="M161">
        <v>9</v>
      </c>
      <c r="N161" s="3">
        <v>264.11</v>
      </c>
      <c r="O161" s="4">
        <v>0.3</v>
      </c>
      <c r="P161" s="3">
        <v>24.95</v>
      </c>
      <c r="Q161" t="s">
        <v>30</v>
      </c>
      <c r="R161">
        <v>5</v>
      </c>
      <c r="S161" t="s">
        <v>31</v>
      </c>
    </row>
    <row r="162" spans="1:20">
      <c r="A162" t="s">
        <v>212</v>
      </c>
      <c r="B162" s="2">
        <v>46141</v>
      </c>
      <c r="C162" t="s">
        <v>71</v>
      </c>
      <c r="D162" t="s">
        <v>101</v>
      </c>
      <c r="E162" t="s">
        <v>101</v>
      </c>
      <c r="F162" t="s">
        <v>110</v>
      </c>
      <c r="G162" t="s">
        <v>24</v>
      </c>
      <c r="H162" t="s">
        <v>77</v>
      </c>
      <c r="I162" t="s">
        <v>90</v>
      </c>
      <c r="J162" t="s">
        <v>27</v>
      </c>
      <c r="K162" t="s">
        <v>91</v>
      </c>
      <c r="L162" t="s">
        <v>82</v>
      </c>
      <c r="M162">
        <v>11</v>
      </c>
      <c r="N162" s="3">
        <v>181.74</v>
      </c>
      <c r="O162" s="4">
        <v>0</v>
      </c>
      <c r="P162" s="3">
        <v>34.950000000000003</v>
      </c>
      <c r="Q162" t="s">
        <v>30</v>
      </c>
      <c r="R162">
        <v>4</v>
      </c>
      <c r="S162" t="s">
        <v>41</v>
      </c>
    </row>
    <row r="163" spans="1:20">
      <c r="A163" t="s">
        <v>308</v>
      </c>
      <c r="B163" s="2">
        <v>46141</v>
      </c>
      <c r="C163" t="s">
        <v>71</v>
      </c>
      <c r="D163" t="s">
        <v>34</v>
      </c>
      <c r="E163" t="s">
        <v>34</v>
      </c>
      <c r="F163" t="s">
        <v>35</v>
      </c>
      <c r="G163" t="s">
        <v>24</v>
      </c>
      <c r="H163" t="s">
        <v>25</v>
      </c>
      <c r="I163" t="s">
        <v>145</v>
      </c>
      <c r="J163" t="s">
        <v>52</v>
      </c>
      <c r="K163" t="s">
        <v>99</v>
      </c>
      <c r="L163" t="s">
        <v>59</v>
      </c>
      <c r="M163">
        <v>2</v>
      </c>
      <c r="N163" s="3">
        <v>94.84</v>
      </c>
      <c r="O163" s="4">
        <v>0.15</v>
      </c>
      <c r="P163" s="3">
        <v>24.95</v>
      </c>
      <c r="Q163" t="s">
        <v>30</v>
      </c>
      <c r="R163">
        <v>4</v>
      </c>
      <c r="S163" t="s">
        <v>68</v>
      </c>
    </row>
    <row r="164" spans="1:20">
      <c r="A164" t="s">
        <v>348</v>
      </c>
      <c r="B164" s="2">
        <v>46141</v>
      </c>
      <c r="C164" t="s">
        <v>71</v>
      </c>
      <c r="D164" t="s">
        <v>80</v>
      </c>
      <c r="E164" t="s">
        <v>80</v>
      </c>
      <c r="F164" t="s">
        <v>97</v>
      </c>
      <c r="G164" t="s">
        <v>49</v>
      </c>
      <c r="H164" t="s">
        <v>25</v>
      </c>
      <c r="I164" t="s">
        <v>127</v>
      </c>
      <c r="J164" t="s">
        <v>57</v>
      </c>
      <c r="K164" t="s">
        <v>58</v>
      </c>
      <c r="L164" t="s">
        <v>59</v>
      </c>
      <c r="M164">
        <v>7</v>
      </c>
      <c r="N164" s="3">
        <v>5.53</v>
      </c>
      <c r="O164" s="4">
        <v>0.2</v>
      </c>
      <c r="P164" s="3">
        <v>9.9499999999999993</v>
      </c>
      <c r="Q164" t="s">
        <v>30</v>
      </c>
      <c r="R164">
        <v>4</v>
      </c>
      <c r="S164" t="s">
        <v>41</v>
      </c>
    </row>
    <row r="165" spans="1:20">
      <c r="A165" t="s">
        <v>168</v>
      </c>
      <c r="B165" s="2">
        <v>46142</v>
      </c>
      <c r="C165" t="s">
        <v>71</v>
      </c>
      <c r="D165" t="s">
        <v>80</v>
      </c>
      <c r="E165" t="s">
        <v>80</v>
      </c>
      <c r="F165" t="s">
        <v>133</v>
      </c>
      <c r="G165" t="s">
        <v>49</v>
      </c>
      <c r="H165" t="s">
        <v>36</v>
      </c>
      <c r="I165" t="s">
        <v>98</v>
      </c>
      <c r="J165" t="s">
        <v>52</v>
      </c>
      <c r="K165" t="s">
        <v>99</v>
      </c>
      <c r="L165" t="s">
        <v>46</v>
      </c>
      <c r="M165">
        <v>8</v>
      </c>
      <c r="N165" s="3">
        <v>121.85</v>
      </c>
      <c r="O165" s="4">
        <v>0.05</v>
      </c>
      <c r="P165" s="3">
        <v>24.95</v>
      </c>
      <c r="Q165" t="s">
        <v>85</v>
      </c>
      <c r="R165">
        <v>2</v>
      </c>
      <c r="S165" t="s">
        <v>63</v>
      </c>
    </row>
    <row r="166" spans="1:20">
      <c r="A166" t="s">
        <v>258</v>
      </c>
      <c r="B166" s="2">
        <v>46142</v>
      </c>
      <c r="C166" t="s">
        <v>71</v>
      </c>
      <c r="D166" t="s">
        <v>80</v>
      </c>
      <c r="E166" t="s">
        <v>80</v>
      </c>
      <c r="F166" t="s">
        <v>81</v>
      </c>
      <c r="G166" t="s">
        <v>44</v>
      </c>
      <c r="H166" t="s">
        <v>36</v>
      </c>
      <c r="I166" t="s">
        <v>56</v>
      </c>
      <c r="J166" t="s">
        <v>57</v>
      </c>
      <c r="K166" t="s">
        <v>58</v>
      </c>
      <c r="L166" t="s">
        <v>82</v>
      </c>
      <c r="M166">
        <v>1</v>
      </c>
      <c r="N166" s="3">
        <v>26.4</v>
      </c>
      <c r="O166" s="4">
        <v>0.05</v>
      </c>
      <c r="P166" s="3">
        <v>9.9499999999999993</v>
      </c>
      <c r="Q166" t="s">
        <v>30</v>
      </c>
      <c r="R166">
        <v>5</v>
      </c>
      <c r="S166" t="s">
        <v>31</v>
      </c>
    </row>
    <row r="167" spans="1:20">
      <c r="A167" t="s">
        <v>300</v>
      </c>
      <c r="B167" s="2">
        <v>46143</v>
      </c>
      <c r="C167" t="s">
        <v>65</v>
      </c>
      <c r="D167" t="s">
        <v>80</v>
      </c>
      <c r="E167" t="s">
        <v>80</v>
      </c>
      <c r="F167" t="s">
        <v>123</v>
      </c>
      <c r="G167" t="s">
        <v>24</v>
      </c>
      <c r="H167" t="s">
        <v>25</v>
      </c>
      <c r="I167" t="s">
        <v>111</v>
      </c>
      <c r="J167" t="s">
        <v>57</v>
      </c>
      <c r="K167" t="s">
        <v>112</v>
      </c>
      <c r="L167" t="s">
        <v>59</v>
      </c>
      <c r="M167">
        <v>9</v>
      </c>
      <c r="N167" s="3">
        <v>7.02</v>
      </c>
      <c r="O167" s="4">
        <v>0</v>
      </c>
      <c r="P167" s="3">
        <v>9.9499999999999993</v>
      </c>
      <c r="Q167" t="s">
        <v>30</v>
      </c>
      <c r="R167">
        <v>4</v>
      </c>
      <c r="S167" t="s">
        <v>41</v>
      </c>
    </row>
    <row r="168" spans="1:20">
      <c r="A168" t="s">
        <v>331</v>
      </c>
      <c r="B168" s="2">
        <v>46143</v>
      </c>
      <c r="C168" t="s">
        <v>65</v>
      </c>
      <c r="D168" t="s">
        <v>22</v>
      </c>
      <c r="E168" t="s">
        <v>22</v>
      </c>
      <c r="F168" t="s">
        <v>87</v>
      </c>
      <c r="G168" t="s">
        <v>44</v>
      </c>
      <c r="H168" t="s">
        <v>77</v>
      </c>
      <c r="I168" t="s">
        <v>26</v>
      </c>
      <c r="J168" t="s">
        <v>27</v>
      </c>
      <c r="K168" t="s">
        <v>28</v>
      </c>
      <c r="L168" t="s">
        <v>92</v>
      </c>
      <c r="M168">
        <v>3</v>
      </c>
      <c r="N168" s="3">
        <v>59.9</v>
      </c>
      <c r="O168" s="4">
        <v>0.05</v>
      </c>
      <c r="P168" s="3">
        <v>5.95</v>
      </c>
      <c r="Q168" t="s">
        <v>30</v>
      </c>
      <c r="R168">
        <v>5</v>
      </c>
      <c r="S168" t="s">
        <v>68</v>
      </c>
    </row>
    <row r="169" spans="1:20">
      <c r="A169" t="s">
        <v>184</v>
      </c>
      <c r="B169" s="2">
        <v>46144</v>
      </c>
      <c r="C169" t="s">
        <v>65</v>
      </c>
      <c r="D169" t="s">
        <v>75</v>
      </c>
      <c r="E169" t="s">
        <v>75</v>
      </c>
      <c r="F169" t="s">
        <v>76</v>
      </c>
      <c r="G169" t="s">
        <v>24</v>
      </c>
      <c r="H169" t="s">
        <v>25</v>
      </c>
      <c r="I169" t="s">
        <v>56</v>
      </c>
      <c r="J169" t="s">
        <v>57</v>
      </c>
      <c r="K169" t="s">
        <v>58</v>
      </c>
      <c r="L169" t="s">
        <v>40</v>
      </c>
      <c r="M169">
        <v>1</v>
      </c>
      <c r="N169" s="3">
        <v>25.95</v>
      </c>
      <c r="O169" s="4">
        <v>0</v>
      </c>
      <c r="P169" s="3">
        <v>0</v>
      </c>
      <c r="Q169" t="s">
        <v>30</v>
      </c>
      <c r="R169">
        <v>5</v>
      </c>
      <c r="S169" t="s">
        <v>68</v>
      </c>
    </row>
    <row r="170" spans="1:20">
      <c r="A170" t="s">
        <v>169</v>
      </c>
      <c r="B170" s="2">
        <v>46146</v>
      </c>
      <c r="C170" t="s">
        <v>65</v>
      </c>
      <c r="D170" t="s">
        <v>22</v>
      </c>
      <c r="E170" t="s">
        <v>22</v>
      </c>
      <c r="F170" t="s">
        <v>87</v>
      </c>
      <c r="G170" t="s">
        <v>44</v>
      </c>
      <c r="H170" t="s">
        <v>25</v>
      </c>
      <c r="I170" t="s">
        <v>145</v>
      </c>
      <c r="J170" t="s">
        <v>52</v>
      </c>
      <c r="K170" t="s">
        <v>99</v>
      </c>
      <c r="L170" t="s">
        <v>82</v>
      </c>
      <c r="M170">
        <v>1</v>
      </c>
      <c r="N170" s="3">
        <v>75.709999999999994</v>
      </c>
      <c r="O170" s="4">
        <v>0</v>
      </c>
      <c r="P170" s="3">
        <v>24.95</v>
      </c>
      <c r="Q170" t="s">
        <v>30</v>
      </c>
      <c r="R170">
        <v>5</v>
      </c>
      <c r="S170" t="s">
        <v>63</v>
      </c>
    </row>
    <row r="171" spans="1:20">
      <c r="A171" t="s">
        <v>225</v>
      </c>
      <c r="B171" s="2">
        <v>46146</v>
      </c>
      <c r="C171" t="s">
        <v>65</v>
      </c>
      <c r="D171" t="s">
        <v>22</v>
      </c>
      <c r="E171" t="s">
        <v>22</v>
      </c>
      <c r="F171" t="s">
        <v>23</v>
      </c>
      <c r="G171" t="s">
        <v>24</v>
      </c>
      <c r="H171" t="s">
        <v>36</v>
      </c>
      <c r="I171" t="s">
        <v>61</v>
      </c>
      <c r="J171" t="s">
        <v>38</v>
      </c>
      <c r="K171" t="s">
        <v>62</v>
      </c>
      <c r="L171" t="s">
        <v>59</v>
      </c>
      <c r="M171">
        <v>2</v>
      </c>
      <c r="N171" s="3">
        <v>17.37</v>
      </c>
      <c r="O171" s="4">
        <v>0.05</v>
      </c>
      <c r="P171" s="3">
        <v>14.95</v>
      </c>
      <c r="Q171" t="s">
        <v>30</v>
      </c>
      <c r="R171">
        <v>3</v>
      </c>
      <c r="S171" t="s">
        <v>63</v>
      </c>
      <c r="T171" t="s">
        <v>162</v>
      </c>
    </row>
    <row r="172" spans="1:20">
      <c r="A172" t="s">
        <v>129</v>
      </c>
      <c r="B172" s="2">
        <v>46147</v>
      </c>
      <c r="C172" t="s">
        <v>65</v>
      </c>
      <c r="D172" t="s">
        <v>22</v>
      </c>
      <c r="E172" t="s">
        <v>22</v>
      </c>
      <c r="F172" t="s">
        <v>87</v>
      </c>
      <c r="G172" t="s">
        <v>24</v>
      </c>
      <c r="H172" t="s">
        <v>25</v>
      </c>
      <c r="I172" t="s">
        <v>125</v>
      </c>
      <c r="J172" t="s">
        <v>38</v>
      </c>
      <c r="K172" t="s">
        <v>39</v>
      </c>
      <c r="L172" t="s">
        <v>59</v>
      </c>
      <c r="M172">
        <v>1</v>
      </c>
      <c r="N172" s="3">
        <v>18.29</v>
      </c>
      <c r="O172" s="4">
        <v>0.1</v>
      </c>
      <c r="P172" s="3">
        <v>14.95</v>
      </c>
      <c r="Q172" t="s">
        <v>30</v>
      </c>
      <c r="R172">
        <v>2</v>
      </c>
      <c r="S172" t="s">
        <v>68</v>
      </c>
    </row>
    <row r="173" spans="1:20">
      <c r="A173" t="s">
        <v>339</v>
      </c>
      <c r="B173" s="2">
        <v>46147</v>
      </c>
      <c r="C173" t="s">
        <v>65</v>
      </c>
      <c r="D173" t="s">
        <v>22</v>
      </c>
      <c r="E173" t="s">
        <v>22</v>
      </c>
      <c r="F173" t="s">
        <v>87</v>
      </c>
      <c r="G173" t="s">
        <v>44</v>
      </c>
      <c r="H173" t="s">
        <v>36</v>
      </c>
      <c r="I173" t="s">
        <v>139</v>
      </c>
      <c r="J173" t="s">
        <v>57</v>
      </c>
      <c r="K173" t="s">
        <v>99</v>
      </c>
      <c r="L173" t="s">
        <v>54</v>
      </c>
      <c r="M173">
        <v>5</v>
      </c>
      <c r="N173" s="3">
        <v>13.58</v>
      </c>
      <c r="O173" s="4">
        <v>0.15</v>
      </c>
      <c r="P173" s="3">
        <v>19.95</v>
      </c>
      <c r="Q173" t="s">
        <v>30</v>
      </c>
      <c r="R173">
        <v>4</v>
      </c>
      <c r="S173" t="s">
        <v>68</v>
      </c>
    </row>
    <row r="174" spans="1:20">
      <c r="A174" t="s">
        <v>321</v>
      </c>
      <c r="B174" s="2">
        <v>46149</v>
      </c>
      <c r="C174" t="s">
        <v>65</v>
      </c>
      <c r="D174" t="s">
        <v>80</v>
      </c>
      <c r="E174" t="s">
        <v>80</v>
      </c>
      <c r="F174" t="s">
        <v>123</v>
      </c>
      <c r="G174" t="s">
        <v>24</v>
      </c>
      <c r="H174" t="s">
        <v>50</v>
      </c>
      <c r="I174" t="s">
        <v>45</v>
      </c>
      <c r="J174" t="s">
        <v>27</v>
      </c>
      <c r="K174" t="s">
        <v>28</v>
      </c>
      <c r="L174" t="s">
        <v>29</v>
      </c>
      <c r="M174">
        <v>4</v>
      </c>
      <c r="N174" s="3">
        <v>28.01</v>
      </c>
      <c r="O174" s="4">
        <v>0</v>
      </c>
      <c r="P174" s="3">
        <v>19.95</v>
      </c>
      <c r="Q174" t="s">
        <v>30</v>
      </c>
      <c r="R174">
        <v>2</v>
      </c>
      <c r="S174" t="s">
        <v>31</v>
      </c>
    </row>
    <row r="175" spans="1:20">
      <c r="A175" t="s">
        <v>228</v>
      </c>
      <c r="B175" s="2">
        <v>46150</v>
      </c>
      <c r="C175" t="s">
        <v>65</v>
      </c>
      <c r="D175" t="s">
        <v>75</v>
      </c>
      <c r="E175" t="s">
        <v>75</v>
      </c>
      <c r="F175" t="s">
        <v>84</v>
      </c>
      <c r="G175" t="s">
        <v>24</v>
      </c>
      <c r="H175" t="s">
        <v>50</v>
      </c>
      <c r="I175" t="s">
        <v>125</v>
      </c>
      <c r="J175" t="s">
        <v>38</v>
      </c>
      <c r="K175" t="s">
        <v>39</v>
      </c>
      <c r="L175" t="s">
        <v>82</v>
      </c>
      <c r="M175">
        <v>7</v>
      </c>
      <c r="N175" s="3">
        <v>18.649999999999999</v>
      </c>
      <c r="O175" s="4">
        <v>0</v>
      </c>
      <c r="P175" s="3">
        <v>34.950000000000003</v>
      </c>
      <c r="Q175" t="s">
        <v>30</v>
      </c>
      <c r="R175">
        <v>4</v>
      </c>
      <c r="S175" t="s">
        <v>68</v>
      </c>
    </row>
    <row r="176" spans="1:20">
      <c r="A176" t="s">
        <v>192</v>
      </c>
      <c r="B176" s="2">
        <v>46151</v>
      </c>
      <c r="C176" t="s">
        <v>65</v>
      </c>
      <c r="D176" t="s">
        <v>80</v>
      </c>
      <c r="E176" t="s">
        <v>80</v>
      </c>
      <c r="F176" t="s">
        <v>123</v>
      </c>
      <c r="G176" t="s">
        <v>44</v>
      </c>
      <c r="H176" t="s">
        <v>25</v>
      </c>
      <c r="I176" t="s">
        <v>135</v>
      </c>
      <c r="J176" t="s">
        <v>57</v>
      </c>
      <c r="K176" t="s">
        <v>112</v>
      </c>
      <c r="L176" t="s">
        <v>92</v>
      </c>
      <c r="M176">
        <v>4</v>
      </c>
      <c r="N176" s="3">
        <v>3.66</v>
      </c>
      <c r="O176" s="4">
        <v>0.05</v>
      </c>
      <c r="P176" s="3">
        <v>14.95</v>
      </c>
      <c r="Q176" t="s">
        <v>30</v>
      </c>
      <c r="R176">
        <v>3</v>
      </c>
      <c r="S176" t="s">
        <v>68</v>
      </c>
    </row>
    <row r="177" spans="1:20">
      <c r="A177" t="s">
        <v>284</v>
      </c>
      <c r="B177" s="2">
        <v>46153</v>
      </c>
      <c r="C177" t="s">
        <v>65</v>
      </c>
      <c r="D177" t="s">
        <v>22</v>
      </c>
      <c r="E177" t="s">
        <v>22</v>
      </c>
      <c r="F177" t="s">
        <v>66</v>
      </c>
      <c r="G177" t="s">
        <v>49</v>
      </c>
      <c r="H177" t="s">
        <v>77</v>
      </c>
      <c r="I177" t="s">
        <v>26</v>
      </c>
      <c r="J177" t="s">
        <v>27</v>
      </c>
      <c r="K177" t="s">
        <v>28</v>
      </c>
      <c r="L177" t="s">
        <v>92</v>
      </c>
      <c r="M177">
        <v>3</v>
      </c>
      <c r="N177" s="3">
        <v>67.23</v>
      </c>
      <c r="O177" s="4">
        <v>0.05</v>
      </c>
      <c r="P177" s="3">
        <v>14.95</v>
      </c>
      <c r="Q177" t="s">
        <v>30</v>
      </c>
      <c r="R177">
        <v>4</v>
      </c>
      <c r="S177" t="s">
        <v>41</v>
      </c>
    </row>
    <row r="178" spans="1:20">
      <c r="A178" t="s">
        <v>253</v>
      </c>
      <c r="B178" s="2">
        <v>46156</v>
      </c>
      <c r="C178" t="s">
        <v>65</v>
      </c>
      <c r="D178" t="s">
        <v>101</v>
      </c>
      <c r="E178" t="s">
        <v>101</v>
      </c>
      <c r="F178" t="s">
        <v>110</v>
      </c>
      <c r="G178" t="s">
        <v>49</v>
      </c>
      <c r="H178" t="s">
        <v>36</v>
      </c>
      <c r="I178" t="s">
        <v>145</v>
      </c>
      <c r="J178" t="s">
        <v>52</v>
      </c>
      <c r="K178" t="s">
        <v>99</v>
      </c>
      <c r="L178" t="s">
        <v>82</v>
      </c>
      <c r="M178">
        <v>2</v>
      </c>
      <c r="N178" s="3">
        <v>69.25</v>
      </c>
      <c r="O178" s="4">
        <v>0.3</v>
      </c>
      <c r="P178" s="3">
        <v>24.95</v>
      </c>
      <c r="Q178" t="s">
        <v>30</v>
      </c>
      <c r="R178">
        <v>5</v>
      </c>
      <c r="S178" t="s">
        <v>41</v>
      </c>
    </row>
    <row r="179" spans="1:20">
      <c r="A179" t="s">
        <v>310</v>
      </c>
      <c r="B179" s="2">
        <v>46156</v>
      </c>
      <c r="C179" t="s">
        <v>65</v>
      </c>
      <c r="D179" t="s">
        <v>22</v>
      </c>
      <c r="E179" t="s">
        <v>22</v>
      </c>
      <c r="F179" t="s">
        <v>66</v>
      </c>
      <c r="G179" t="s">
        <v>49</v>
      </c>
      <c r="H179" t="s">
        <v>36</v>
      </c>
      <c r="I179" t="s">
        <v>98</v>
      </c>
      <c r="J179" t="s">
        <v>52</v>
      </c>
      <c r="K179" t="s">
        <v>99</v>
      </c>
      <c r="L179" t="s">
        <v>67</v>
      </c>
      <c r="M179">
        <v>3</v>
      </c>
      <c r="N179" s="3">
        <v>135.16</v>
      </c>
      <c r="O179" s="4">
        <v>0.15</v>
      </c>
      <c r="P179" s="3">
        <v>19.95</v>
      </c>
      <c r="Q179" t="s">
        <v>30</v>
      </c>
      <c r="R179">
        <v>4</v>
      </c>
      <c r="S179" t="s">
        <v>68</v>
      </c>
    </row>
    <row r="180" spans="1:20">
      <c r="A180" t="s">
        <v>194</v>
      </c>
      <c r="B180" s="2">
        <v>46157</v>
      </c>
      <c r="C180" t="s">
        <v>65</v>
      </c>
      <c r="D180" t="s">
        <v>22</v>
      </c>
      <c r="E180" t="s">
        <v>22</v>
      </c>
      <c r="F180" t="s">
        <v>87</v>
      </c>
      <c r="G180" t="s">
        <v>49</v>
      </c>
      <c r="H180" t="s">
        <v>77</v>
      </c>
      <c r="I180" t="s">
        <v>26</v>
      </c>
      <c r="J180" t="s">
        <v>27</v>
      </c>
      <c r="K180" t="s">
        <v>28</v>
      </c>
      <c r="L180" t="s">
        <v>40</v>
      </c>
      <c r="M180">
        <v>1</v>
      </c>
      <c r="N180" s="3">
        <v>72.260000000000005</v>
      </c>
      <c r="O180" s="4">
        <v>0</v>
      </c>
      <c r="P180" s="3">
        <v>5.95</v>
      </c>
      <c r="Q180" t="s">
        <v>30</v>
      </c>
      <c r="R180">
        <v>4</v>
      </c>
      <c r="S180" t="s">
        <v>41</v>
      </c>
    </row>
    <row r="181" spans="1:20">
      <c r="A181" t="s">
        <v>304</v>
      </c>
      <c r="B181" s="2">
        <v>46157</v>
      </c>
      <c r="C181" t="s">
        <v>65</v>
      </c>
      <c r="D181" t="s">
        <v>101</v>
      </c>
      <c r="E181" t="s">
        <v>101</v>
      </c>
      <c r="F181" t="s">
        <v>108</v>
      </c>
      <c r="G181" t="s">
        <v>24</v>
      </c>
      <c r="H181" t="s">
        <v>36</v>
      </c>
      <c r="I181" t="s">
        <v>127</v>
      </c>
      <c r="J181" t="s">
        <v>57</v>
      </c>
      <c r="K181" t="s">
        <v>58</v>
      </c>
      <c r="L181" t="s">
        <v>54</v>
      </c>
      <c r="M181">
        <v>1</v>
      </c>
      <c r="N181" s="3">
        <v>5.67</v>
      </c>
      <c r="O181" s="4">
        <v>0.1</v>
      </c>
      <c r="P181" s="3">
        <v>0</v>
      </c>
      <c r="Q181" t="s">
        <v>30</v>
      </c>
      <c r="R181">
        <v>5</v>
      </c>
      <c r="S181" t="s">
        <v>41</v>
      </c>
    </row>
    <row r="182" spans="1:20">
      <c r="A182" t="s">
        <v>250</v>
      </c>
      <c r="B182" s="2">
        <v>46158</v>
      </c>
      <c r="C182" t="s">
        <v>65</v>
      </c>
      <c r="D182" t="s">
        <v>22</v>
      </c>
      <c r="E182" t="s">
        <v>22</v>
      </c>
      <c r="F182" t="s">
        <v>87</v>
      </c>
      <c r="G182" t="s">
        <v>49</v>
      </c>
      <c r="H182" t="s">
        <v>36</v>
      </c>
      <c r="I182" t="s">
        <v>26</v>
      </c>
      <c r="J182" t="s">
        <v>27</v>
      </c>
      <c r="K182" t="s">
        <v>28</v>
      </c>
      <c r="L182" t="s">
        <v>29</v>
      </c>
      <c r="M182">
        <v>1</v>
      </c>
      <c r="N182" s="3">
        <v>74.66</v>
      </c>
      <c r="O182" s="4">
        <v>0.15</v>
      </c>
      <c r="P182" s="3">
        <v>9.9499999999999993</v>
      </c>
      <c r="Q182" t="s">
        <v>30</v>
      </c>
      <c r="R182">
        <v>5</v>
      </c>
      <c r="S182" t="s">
        <v>31</v>
      </c>
    </row>
    <row r="183" spans="1:20">
      <c r="A183" t="s">
        <v>165</v>
      </c>
      <c r="B183" s="2">
        <v>46159</v>
      </c>
      <c r="C183" t="s">
        <v>65</v>
      </c>
      <c r="D183" t="s">
        <v>101</v>
      </c>
      <c r="E183" t="s">
        <v>101</v>
      </c>
      <c r="F183" t="s">
        <v>110</v>
      </c>
      <c r="G183" t="s">
        <v>24</v>
      </c>
      <c r="H183" t="s">
        <v>50</v>
      </c>
      <c r="I183" t="s">
        <v>78</v>
      </c>
      <c r="J183" t="s">
        <v>27</v>
      </c>
      <c r="K183" t="s">
        <v>28</v>
      </c>
      <c r="L183" t="s">
        <v>29</v>
      </c>
      <c r="M183">
        <v>3</v>
      </c>
      <c r="N183" s="3">
        <v>17.27</v>
      </c>
      <c r="O183" s="4">
        <v>0.15</v>
      </c>
      <c r="P183" s="3">
        <v>19.95</v>
      </c>
      <c r="Q183" t="s">
        <v>30</v>
      </c>
      <c r="R183">
        <v>4</v>
      </c>
      <c r="S183" t="s">
        <v>68</v>
      </c>
    </row>
    <row r="184" spans="1:20">
      <c r="A184" t="s">
        <v>176</v>
      </c>
      <c r="B184" s="2">
        <v>46160</v>
      </c>
      <c r="C184" t="s">
        <v>65</v>
      </c>
      <c r="D184" t="s">
        <v>22</v>
      </c>
      <c r="E184" t="s">
        <v>22</v>
      </c>
      <c r="F184" t="s">
        <v>66</v>
      </c>
      <c r="G184" t="s">
        <v>49</v>
      </c>
      <c r="H184" t="s">
        <v>77</v>
      </c>
      <c r="I184" t="s">
        <v>125</v>
      </c>
      <c r="J184" t="s">
        <v>38</v>
      </c>
      <c r="K184" t="s">
        <v>39</v>
      </c>
      <c r="L184" t="s">
        <v>59</v>
      </c>
      <c r="M184">
        <v>1</v>
      </c>
      <c r="N184" s="3">
        <v>18.55</v>
      </c>
      <c r="O184" s="4">
        <v>0.1</v>
      </c>
      <c r="P184" s="3">
        <v>24.95</v>
      </c>
      <c r="Q184" t="s">
        <v>30</v>
      </c>
      <c r="R184">
        <v>5</v>
      </c>
      <c r="S184" t="s">
        <v>68</v>
      </c>
    </row>
    <row r="185" spans="1:20">
      <c r="A185" t="s">
        <v>333</v>
      </c>
      <c r="B185" s="2">
        <v>46160</v>
      </c>
      <c r="C185" t="s">
        <v>65</v>
      </c>
      <c r="D185" t="s">
        <v>101</v>
      </c>
      <c r="E185" t="s">
        <v>101</v>
      </c>
      <c r="F185" t="s">
        <v>108</v>
      </c>
      <c r="G185" t="s">
        <v>44</v>
      </c>
      <c r="H185" t="s">
        <v>25</v>
      </c>
      <c r="I185" t="s">
        <v>135</v>
      </c>
      <c r="J185" t="s">
        <v>57</v>
      </c>
      <c r="K185" t="s">
        <v>112</v>
      </c>
      <c r="L185" t="s">
        <v>54</v>
      </c>
      <c r="M185">
        <v>5</v>
      </c>
      <c r="N185" s="3">
        <v>3.76</v>
      </c>
      <c r="O185" s="4">
        <v>0.1</v>
      </c>
      <c r="P185" s="3">
        <v>5.95</v>
      </c>
      <c r="Q185" t="s">
        <v>30</v>
      </c>
      <c r="R185">
        <v>4</v>
      </c>
      <c r="S185" t="s">
        <v>68</v>
      </c>
    </row>
    <row r="186" spans="1:20">
      <c r="A186" t="s">
        <v>287</v>
      </c>
      <c r="B186" s="2">
        <v>46161</v>
      </c>
      <c r="C186" t="s">
        <v>65</v>
      </c>
      <c r="D186" t="s">
        <v>101</v>
      </c>
      <c r="E186" t="s">
        <v>101</v>
      </c>
      <c r="F186" t="s">
        <v>108</v>
      </c>
      <c r="G186" t="s">
        <v>49</v>
      </c>
      <c r="H186" t="s">
        <v>77</v>
      </c>
      <c r="I186" t="s">
        <v>61</v>
      </c>
      <c r="J186" t="s">
        <v>38</v>
      </c>
      <c r="K186" t="s">
        <v>62</v>
      </c>
      <c r="L186" t="s">
        <v>46</v>
      </c>
      <c r="M186">
        <v>6</v>
      </c>
      <c r="N186" s="3">
        <v>15.8</v>
      </c>
      <c r="O186" s="4">
        <v>0.1</v>
      </c>
      <c r="P186" s="3">
        <v>14.95</v>
      </c>
      <c r="Q186" t="s">
        <v>85</v>
      </c>
      <c r="R186">
        <v>1</v>
      </c>
      <c r="S186" t="s">
        <v>68</v>
      </c>
    </row>
    <row r="187" spans="1:20">
      <c r="A187" t="s">
        <v>103</v>
      </c>
      <c r="B187" s="2">
        <v>46164</v>
      </c>
      <c r="C187" t="s">
        <v>65</v>
      </c>
      <c r="D187" t="s">
        <v>22</v>
      </c>
      <c r="E187" t="s">
        <v>22</v>
      </c>
      <c r="F187" t="s">
        <v>94</v>
      </c>
      <c r="G187" t="s">
        <v>49</v>
      </c>
      <c r="H187" t="s">
        <v>36</v>
      </c>
      <c r="I187" t="s">
        <v>98</v>
      </c>
      <c r="J187" t="s">
        <v>52</v>
      </c>
      <c r="K187" t="s">
        <v>99</v>
      </c>
      <c r="L187" t="s">
        <v>46</v>
      </c>
      <c r="M187">
        <v>1</v>
      </c>
      <c r="N187" s="3">
        <v>117.46</v>
      </c>
      <c r="O187" s="4">
        <v>0</v>
      </c>
      <c r="P187" s="3">
        <v>24.95</v>
      </c>
      <c r="Q187" t="s">
        <v>30</v>
      </c>
      <c r="R187">
        <v>5</v>
      </c>
      <c r="S187" t="s">
        <v>68</v>
      </c>
    </row>
    <row r="188" spans="1:20">
      <c r="A188" t="s">
        <v>335</v>
      </c>
      <c r="B188" s="2">
        <v>46164</v>
      </c>
      <c r="C188" t="s">
        <v>65</v>
      </c>
      <c r="D188" t="s">
        <v>80</v>
      </c>
      <c r="E188" t="s">
        <v>80</v>
      </c>
      <c r="F188" t="s">
        <v>81</v>
      </c>
      <c r="G188" t="s">
        <v>24</v>
      </c>
      <c r="H188" t="s">
        <v>36</v>
      </c>
      <c r="I188" t="s">
        <v>78</v>
      </c>
      <c r="J188" t="s">
        <v>27</v>
      </c>
      <c r="K188" t="s">
        <v>28</v>
      </c>
      <c r="L188" t="s">
        <v>54</v>
      </c>
      <c r="M188">
        <v>2</v>
      </c>
      <c r="N188" s="3">
        <v>16.149999999999999</v>
      </c>
      <c r="O188" s="4">
        <v>0.2</v>
      </c>
      <c r="P188" s="3">
        <v>24.95</v>
      </c>
      <c r="Q188" t="s">
        <v>30</v>
      </c>
      <c r="R188">
        <v>5</v>
      </c>
      <c r="S188" t="s">
        <v>31</v>
      </c>
    </row>
    <row r="189" spans="1:20">
      <c r="A189" t="s">
        <v>255</v>
      </c>
      <c r="B189" s="2">
        <v>46165</v>
      </c>
      <c r="C189" t="s">
        <v>65</v>
      </c>
      <c r="D189" t="s">
        <v>80</v>
      </c>
      <c r="E189" t="s">
        <v>80</v>
      </c>
      <c r="F189" t="s">
        <v>81</v>
      </c>
      <c r="G189" t="s">
        <v>44</v>
      </c>
      <c r="H189" t="s">
        <v>25</v>
      </c>
      <c r="I189" t="s">
        <v>61</v>
      </c>
      <c r="J189" t="s">
        <v>38</v>
      </c>
      <c r="K189" t="s">
        <v>62</v>
      </c>
      <c r="L189" t="s">
        <v>29</v>
      </c>
      <c r="M189">
        <v>3</v>
      </c>
      <c r="N189" s="3">
        <v>16.510000000000002</v>
      </c>
      <c r="O189" s="4">
        <v>0</v>
      </c>
      <c r="P189" s="3">
        <v>9.9499999999999993</v>
      </c>
      <c r="Q189" t="s">
        <v>30</v>
      </c>
      <c r="R189">
        <v>2</v>
      </c>
      <c r="S189" t="s">
        <v>68</v>
      </c>
    </row>
    <row r="190" spans="1:20">
      <c r="A190" t="s">
        <v>64</v>
      </c>
      <c r="B190" s="2">
        <v>46166</v>
      </c>
      <c r="C190" t="s">
        <v>65</v>
      </c>
      <c r="D190" t="s">
        <v>22</v>
      </c>
      <c r="E190" t="s">
        <v>22</v>
      </c>
      <c r="F190" t="s">
        <v>66</v>
      </c>
      <c r="G190" t="s">
        <v>49</v>
      </c>
      <c r="H190" t="s">
        <v>36</v>
      </c>
      <c r="I190" t="s">
        <v>45</v>
      </c>
      <c r="J190" t="s">
        <v>27</v>
      </c>
      <c r="K190" t="s">
        <v>28</v>
      </c>
      <c r="L190" t="s">
        <v>67</v>
      </c>
      <c r="M190">
        <v>4</v>
      </c>
      <c r="N190" s="3">
        <v>33.17</v>
      </c>
      <c r="O190" s="4">
        <v>0.1</v>
      </c>
      <c r="P190" s="3">
        <v>9.9499999999999993</v>
      </c>
      <c r="Q190" t="s">
        <v>30</v>
      </c>
      <c r="R190">
        <v>4</v>
      </c>
      <c r="S190" t="s">
        <v>68</v>
      </c>
    </row>
    <row r="191" spans="1:20">
      <c r="A191" t="s">
        <v>347</v>
      </c>
      <c r="B191" s="2">
        <v>46166</v>
      </c>
      <c r="C191" t="s">
        <v>65</v>
      </c>
      <c r="D191" t="s">
        <v>22</v>
      </c>
      <c r="E191" t="s">
        <v>22</v>
      </c>
      <c r="F191" t="s">
        <v>23</v>
      </c>
      <c r="G191" t="s">
        <v>44</v>
      </c>
      <c r="H191" t="s">
        <v>77</v>
      </c>
      <c r="I191" t="s">
        <v>125</v>
      </c>
      <c r="J191" t="s">
        <v>38</v>
      </c>
      <c r="K191" t="s">
        <v>39</v>
      </c>
      <c r="L191" t="s">
        <v>46</v>
      </c>
      <c r="M191">
        <v>6</v>
      </c>
      <c r="N191" s="3">
        <v>17.95</v>
      </c>
      <c r="O191" s="4">
        <v>0.1</v>
      </c>
      <c r="P191" s="3">
        <v>24.95</v>
      </c>
      <c r="Q191" t="s">
        <v>30</v>
      </c>
      <c r="R191">
        <v>4</v>
      </c>
      <c r="S191" t="s">
        <v>63</v>
      </c>
      <c r="T191" t="s">
        <v>162</v>
      </c>
    </row>
    <row r="192" spans="1:20">
      <c r="A192" t="s">
        <v>132</v>
      </c>
      <c r="B192" s="2">
        <v>46167</v>
      </c>
      <c r="C192" t="s">
        <v>65</v>
      </c>
      <c r="D192" t="s">
        <v>80</v>
      </c>
      <c r="E192" t="s">
        <v>80</v>
      </c>
      <c r="F192" t="s">
        <v>133</v>
      </c>
      <c r="G192" t="s">
        <v>44</v>
      </c>
      <c r="H192" t="s">
        <v>25</v>
      </c>
      <c r="I192" t="s">
        <v>45</v>
      </c>
      <c r="J192" t="s">
        <v>27</v>
      </c>
      <c r="K192" t="s">
        <v>28</v>
      </c>
      <c r="L192" t="s">
        <v>82</v>
      </c>
      <c r="M192">
        <v>9</v>
      </c>
      <c r="N192" s="3">
        <v>30.73</v>
      </c>
      <c r="O192" s="4">
        <v>0.05</v>
      </c>
      <c r="P192" s="3">
        <v>9.9499999999999993</v>
      </c>
      <c r="Q192" t="s">
        <v>30</v>
      </c>
      <c r="R192">
        <v>4</v>
      </c>
      <c r="S192" t="s">
        <v>41</v>
      </c>
    </row>
    <row r="193" spans="1:20">
      <c r="A193" t="s">
        <v>167</v>
      </c>
      <c r="B193" s="2">
        <v>46167</v>
      </c>
      <c r="C193" t="s">
        <v>65</v>
      </c>
      <c r="D193" t="s">
        <v>22</v>
      </c>
      <c r="E193" t="s">
        <v>22</v>
      </c>
      <c r="F193" t="s">
        <v>87</v>
      </c>
      <c r="G193" t="s">
        <v>44</v>
      </c>
      <c r="H193" t="s">
        <v>77</v>
      </c>
      <c r="I193" t="s">
        <v>45</v>
      </c>
      <c r="J193" t="s">
        <v>27</v>
      </c>
      <c r="K193" t="s">
        <v>28</v>
      </c>
      <c r="L193" t="s">
        <v>29</v>
      </c>
      <c r="M193">
        <v>5</v>
      </c>
      <c r="N193" s="3">
        <v>29.08</v>
      </c>
      <c r="O193" s="4">
        <v>0.1</v>
      </c>
      <c r="P193" s="3">
        <v>14.95</v>
      </c>
      <c r="Q193" t="s">
        <v>30</v>
      </c>
      <c r="R193">
        <v>4</v>
      </c>
      <c r="S193" t="s">
        <v>63</v>
      </c>
    </row>
    <row r="194" spans="1:20">
      <c r="A194" t="s">
        <v>224</v>
      </c>
      <c r="B194" s="2">
        <v>46167</v>
      </c>
      <c r="C194" t="s">
        <v>65</v>
      </c>
      <c r="D194" t="s">
        <v>22</v>
      </c>
      <c r="E194" t="s">
        <v>22</v>
      </c>
      <c r="F194" t="s">
        <v>23</v>
      </c>
      <c r="G194" t="s">
        <v>49</v>
      </c>
      <c r="H194" t="s">
        <v>36</v>
      </c>
      <c r="I194" t="s">
        <v>45</v>
      </c>
      <c r="J194" t="s">
        <v>27</v>
      </c>
      <c r="K194" t="s">
        <v>28</v>
      </c>
      <c r="L194" t="s">
        <v>82</v>
      </c>
      <c r="M194">
        <v>1</v>
      </c>
      <c r="N194" s="3">
        <v>30.71</v>
      </c>
      <c r="O194" s="4">
        <v>0.3</v>
      </c>
      <c r="P194" s="3">
        <v>19.95</v>
      </c>
      <c r="Q194" t="s">
        <v>30</v>
      </c>
      <c r="R194">
        <v>4</v>
      </c>
      <c r="S194" t="s">
        <v>63</v>
      </c>
    </row>
    <row r="195" spans="1:20">
      <c r="A195" t="s">
        <v>277</v>
      </c>
      <c r="B195" s="2">
        <v>46167</v>
      </c>
      <c r="C195" t="s">
        <v>65</v>
      </c>
      <c r="D195" t="s">
        <v>22</v>
      </c>
      <c r="E195" t="s">
        <v>22</v>
      </c>
      <c r="F195" t="s">
        <v>94</v>
      </c>
      <c r="G195" t="s">
        <v>24</v>
      </c>
      <c r="H195" t="s">
        <v>25</v>
      </c>
      <c r="I195" t="s">
        <v>56</v>
      </c>
      <c r="J195" t="s">
        <v>57</v>
      </c>
      <c r="K195" t="s">
        <v>58</v>
      </c>
      <c r="L195" t="s">
        <v>67</v>
      </c>
      <c r="M195">
        <v>11</v>
      </c>
      <c r="N195" s="3">
        <v>25.47</v>
      </c>
      <c r="O195" s="4">
        <v>0.05</v>
      </c>
      <c r="P195" s="3">
        <v>24.95</v>
      </c>
      <c r="Q195" t="s">
        <v>85</v>
      </c>
      <c r="R195">
        <v>3</v>
      </c>
      <c r="S195" t="s">
        <v>41</v>
      </c>
    </row>
    <row r="196" spans="1:20">
      <c r="A196" t="s">
        <v>138</v>
      </c>
      <c r="B196" s="2">
        <v>46168</v>
      </c>
      <c r="C196" t="s">
        <v>65</v>
      </c>
      <c r="D196" t="s">
        <v>22</v>
      </c>
      <c r="E196" t="s">
        <v>22</v>
      </c>
      <c r="F196" t="s">
        <v>87</v>
      </c>
      <c r="G196" t="s">
        <v>44</v>
      </c>
      <c r="H196" t="s">
        <v>50</v>
      </c>
      <c r="I196" t="s">
        <v>139</v>
      </c>
      <c r="J196" t="s">
        <v>57</v>
      </c>
      <c r="K196" t="s">
        <v>99</v>
      </c>
      <c r="L196" t="s">
        <v>40</v>
      </c>
      <c r="M196">
        <v>4</v>
      </c>
      <c r="N196" s="3">
        <v>12.87</v>
      </c>
      <c r="O196" s="4">
        <v>0</v>
      </c>
      <c r="P196" s="3">
        <v>9.9499999999999993</v>
      </c>
      <c r="Q196" t="s">
        <v>30</v>
      </c>
      <c r="R196">
        <v>4</v>
      </c>
      <c r="S196" t="s">
        <v>41</v>
      </c>
    </row>
    <row r="197" spans="1:20">
      <c r="A197" t="s">
        <v>265</v>
      </c>
      <c r="B197" s="2">
        <v>46168</v>
      </c>
      <c r="C197" t="s">
        <v>65</v>
      </c>
      <c r="D197" t="s">
        <v>75</v>
      </c>
      <c r="E197" t="s">
        <v>75</v>
      </c>
      <c r="F197" t="s">
        <v>76</v>
      </c>
      <c r="G197" t="s">
        <v>24</v>
      </c>
      <c r="H197" t="s">
        <v>50</v>
      </c>
      <c r="I197" t="s">
        <v>51</v>
      </c>
      <c r="J197" t="s">
        <v>52</v>
      </c>
      <c r="K197" t="s">
        <v>53</v>
      </c>
      <c r="L197" t="s">
        <v>82</v>
      </c>
      <c r="M197">
        <v>3</v>
      </c>
      <c r="N197" s="3">
        <v>93.91</v>
      </c>
      <c r="O197" s="4">
        <v>0.2</v>
      </c>
      <c r="P197" s="3">
        <v>19.95</v>
      </c>
      <c r="Q197" t="s">
        <v>30</v>
      </c>
      <c r="R197">
        <v>3</v>
      </c>
      <c r="S197" t="s">
        <v>31</v>
      </c>
    </row>
    <row r="198" spans="1:20">
      <c r="A198" t="s">
        <v>289</v>
      </c>
      <c r="B198" s="2">
        <v>46168</v>
      </c>
      <c r="C198" t="s">
        <v>65</v>
      </c>
      <c r="D198" t="s">
        <v>101</v>
      </c>
      <c r="E198" t="s">
        <v>101</v>
      </c>
      <c r="F198" t="s">
        <v>102</v>
      </c>
      <c r="G198" t="s">
        <v>49</v>
      </c>
      <c r="H198" t="s">
        <v>25</v>
      </c>
      <c r="I198" t="s">
        <v>51</v>
      </c>
      <c r="J198" t="s">
        <v>52</v>
      </c>
      <c r="K198" t="s">
        <v>53</v>
      </c>
      <c r="L198" t="s">
        <v>54</v>
      </c>
      <c r="M198">
        <v>2</v>
      </c>
      <c r="N198" s="3">
        <v>109.08</v>
      </c>
      <c r="O198" s="4">
        <v>0</v>
      </c>
      <c r="P198" s="3">
        <v>24.95</v>
      </c>
      <c r="Q198" t="s">
        <v>30</v>
      </c>
      <c r="R198">
        <v>5</v>
      </c>
      <c r="S198" t="s">
        <v>63</v>
      </c>
    </row>
    <row r="199" spans="1:20">
      <c r="A199" t="s">
        <v>210</v>
      </c>
      <c r="B199" s="2">
        <v>46169</v>
      </c>
      <c r="C199" t="s">
        <v>65</v>
      </c>
      <c r="D199" t="s">
        <v>34</v>
      </c>
      <c r="E199" t="s">
        <v>34</v>
      </c>
      <c r="F199" t="s">
        <v>35</v>
      </c>
      <c r="G199" t="s">
        <v>44</v>
      </c>
      <c r="H199" t="s">
        <v>36</v>
      </c>
      <c r="I199" t="s">
        <v>174</v>
      </c>
      <c r="J199" t="s">
        <v>27</v>
      </c>
      <c r="K199" t="s">
        <v>154</v>
      </c>
      <c r="L199" t="s">
        <v>82</v>
      </c>
      <c r="M199">
        <v>3</v>
      </c>
      <c r="N199" s="3">
        <v>1004.79</v>
      </c>
      <c r="O199" s="4">
        <v>0.3</v>
      </c>
      <c r="P199" s="3">
        <v>0</v>
      </c>
      <c r="Q199" t="s">
        <v>85</v>
      </c>
      <c r="R199">
        <v>1</v>
      </c>
      <c r="S199" t="s">
        <v>63</v>
      </c>
    </row>
    <row r="200" spans="1:20">
      <c r="A200" t="s">
        <v>271</v>
      </c>
      <c r="B200" s="2">
        <v>46169</v>
      </c>
      <c r="C200" t="s">
        <v>65</v>
      </c>
      <c r="D200" t="s">
        <v>34</v>
      </c>
      <c r="E200" t="s">
        <v>34</v>
      </c>
      <c r="F200" t="s">
        <v>35</v>
      </c>
      <c r="G200" t="s">
        <v>24</v>
      </c>
      <c r="H200" t="s">
        <v>36</v>
      </c>
      <c r="I200" t="s">
        <v>78</v>
      </c>
      <c r="J200" t="s">
        <v>27</v>
      </c>
      <c r="K200" t="s">
        <v>28</v>
      </c>
      <c r="L200" t="s">
        <v>46</v>
      </c>
      <c r="M200">
        <v>3</v>
      </c>
      <c r="N200" s="3">
        <v>15.72</v>
      </c>
      <c r="O200" s="4">
        <v>0</v>
      </c>
      <c r="P200" s="3">
        <v>9.9499999999999993</v>
      </c>
      <c r="Q200" t="s">
        <v>30</v>
      </c>
      <c r="R200">
        <v>4</v>
      </c>
      <c r="S200" t="s">
        <v>63</v>
      </c>
    </row>
    <row r="201" spans="1:20">
      <c r="A201" t="s">
        <v>305</v>
      </c>
      <c r="B201" s="2">
        <v>46169</v>
      </c>
      <c r="C201" t="s">
        <v>65</v>
      </c>
      <c r="D201" t="s">
        <v>22</v>
      </c>
      <c r="E201" t="s">
        <v>22</v>
      </c>
      <c r="F201" t="s">
        <v>94</v>
      </c>
      <c r="G201" t="s">
        <v>44</v>
      </c>
      <c r="H201" t="s">
        <v>36</v>
      </c>
      <c r="I201" t="s">
        <v>90</v>
      </c>
      <c r="J201" t="s">
        <v>27</v>
      </c>
      <c r="K201" t="s">
        <v>91</v>
      </c>
      <c r="L201" t="s">
        <v>54</v>
      </c>
      <c r="M201">
        <v>5</v>
      </c>
      <c r="N201" s="3">
        <v>198.53</v>
      </c>
      <c r="O201" s="4">
        <v>0</v>
      </c>
      <c r="P201" s="3">
        <v>0</v>
      </c>
      <c r="Q201" t="s">
        <v>30</v>
      </c>
      <c r="R201">
        <v>2</v>
      </c>
      <c r="S201" t="s">
        <v>31</v>
      </c>
    </row>
    <row r="202" spans="1:20">
      <c r="A202" t="s">
        <v>282</v>
      </c>
      <c r="B202" s="2">
        <v>46170</v>
      </c>
      <c r="C202" t="s">
        <v>65</v>
      </c>
      <c r="D202" t="s">
        <v>34</v>
      </c>
      <c r="E202" t="s">
        <v>34</v>
      </c>
      <c r="F202" t="s">
        <v>48</v>
      </c>
      <c r="G202" t="s">
        <v>49</v>
      </c>
      <c r="H202" t="s">
        <v>50</v>
      </c>
      <c r="I202" t="s">
        <v>98</v>
      </c>
      <c r="J202" t="s">
        <v>52</v>
      </c>
      <c r="K202" t="s">
        <v>99</v>
      </c>
      <c r="L202" t="s">
        <v>59</v>
      </c>
      <c r="M202">
        <v>1</v>
      </c>
      <c r="N202" s="3">
        <v>125.76</v>
      </c>
      <c r="O202" s="4">
        <v>0</v>
      </c>
      <c r="P202" s="3">
        <v>14.95</v>
      </c>
      <c r="Q202" t="s">
        <v>30</v>
      </c>
      <c r="R202">
        <v>2</v>
      </c>
      <c r="S202" t="s">
        <v>63</v>
      </c>
    </row>
    <row r="203" spans="1:20">
      <c r="A203" t="s">
        <v>93</v>
      </c>
      <c r="B203" s="2">
        <v>46171</v>
      </c>
      <c r="C203" t="s">
        <v>65</v>
      </c>
      <c r="D203" t="s">
        <v>22</v>
      </c>
      <c r="E203" t="s">
        <v>22</v>
      </c>
      <c r="F203" t="s">
        <v>94</v>
      </c>
      <c r="G203" t="s">
        <v>24</v>
      </c>
      <c r="H203" t="s">
        <v>25</v>
      </c>
      <c r="I203" t="s">
        <v>51</v>
      </c>
      <c r="J203" t="s">
        <v>52</v>
      </c>
      <c r="K203" t="s">
        <v>53</v>
      </c>
      <c r="L203" t="s">
        <v>54</v>
      </c>
      <c r="M203">
        <v>5</v>
      </c>
      <c r="N203" s="3">
        <v>100.22</v>
      </c>
      <c r="O203" s="4">
        <v>0</v>
      </c>
      <c r="P203" s="3">
        <v>14.95</v>
      </c>
      <c r="Q203" t="s">
        <v>30</v>
      </c>
      <c r="R203">
        <v>4</v>
      </c>
      <c r="S203" t="s">
        <v>68</v>
      </c>
    </row>
    <row r="204" spans="1:20">
      <c r="A204" t="s">
        <v>106</v>
      </c>
      <c r="B204" s="2">
        <v>46172</v>
      </c>
      <c r="C204" t="s">
        <v>65</v>
      </c>
      <c r="D204" t="s">
        <v>80</v>
      </c>
      <c r="E204" t="s">
        <v>80</v>
      </c>
      <c r="F204" t="s">
        <v>97</v>
      </c>
      <c r="G204" t="s">
        <v>49</v>
      </c>
      <c r="H204" t="s">
        <v>77</v>
      </c>
      <c r="I204" t="s">
        <v>45</v>
      </c>
      <c r="J204" t="s">
        <v>27</v>
      </c>
      <c r="K204" t="s">
        <v>28</v>
      </c>
      <c r="L204" t="s">
        <v>67</v>
      </c>
      <c r="M204">
        <v>4</v>
      </c>
      <c r="N204" s="3">
        <v>28.9</v>
      </c>
      <c r="O204" s="4">
        <v>0.05</v>
      </c>
      <c r="P204" s="3">
        <v>0</v>
      </c>
      <c r="Q204" t="s">
        <v>30</v>
      </c>
      <c r="R204">
        <v>4</v>
      </c>
      <c r="S204" t="s">
        <v>41</v>
      </c>
    </row>
    <row r="205" spans="1:20">
      <c r="A205" t="s">
        <v>128</v>
      </c>
      <c r="B205" s="2">
        <v>46172</v>
      </c>
      <c r="C205" t="s">
        <v>65</v>
      </c>
      <c r="D205" t="s">
        <v>101</v>
      </c>
      <c r="E205" t="s">
        <v>101</v>
      </c>
      <c r="F205" t="s">
        <v>108</v>
      </c>
      <c r="G205" t="s">
        <v>44</v>
      </c>
      <c r="H205" t="s">
        <v>36</v>
      </c>
      <c r="I205" t="s">
        <v>51</v>
      </c>
      <c r="J205" t="s">
        <v>52</v>
      </c>
      <c r="K205" t="s">
        <v>53</v>
      </c>
      <c r="L205" t="s">
        <v>59</v>
      </c>
      <c r="M205">
        <v>9</v>
      </c>
      <c r="N205" s="3">
        <v>114.11</v>
      </c>
      <c r="O205" s="4">
        <v>0.1</v>
      </c>
      <c r="P205" s="3">
        <v>34.950000000000003</v>
      </c>
      <c r="Q205" t="s">
        <v>30</v>
      </c>
      <c r="R205">
        <v>5</v>
      </c>
      <c r="S205" t="s">
        <v>31</v>
      </c>
    </row>
    <row r="206" spans="1:20">
      <c r="A206" t="s">
        <v>244</v>
      </c>
      <c r="B206" s="2">
        <v>46172</v>
      </c>
      <c r="C206" t="s">
        <v>65</v>
      </c>
      <c r="D206" t="s">
        <v>75</v>
      </c>
      <c r="E206" t="s">
        <v>75</v>
      </c>
      <c r="F206" t="s">
        <v>84</v>
      </c>
      <c r="G206" t="s">
        <v>44</v>
      </c>
      <c r="H206" t="s">
        <v>77</v>
      </c>
      <c r="I206" t="s">
        <v>98</v>
      </c>
      <c r="J206" t="s">
        <v>52</v>
      </c>
      <c r="K206" t="s">
        <v>99</v>
      </c>
      <c r="L206" t="s">
        <v>59</v>
      </c>
      <c r="M206">
        <v>5</v>
      </c>
      <c r="N206" s="3">
        <v>126.48</v>
      </c>
      <c r="O206" s="4">
        <v>0.1</v>
      </c>
      <c r="P206" s="3">
        <v>0</v>
      </c>
      <c r="Q206" t="s">
        <v>30</v>
      </c>
      <c r="R206">
        <v>2</v>
      </c>
      <c r="S206" t="s">
        <v>41</v>
      </c>
      <c r="T206" t="s">
        <v>143</v>
      </c>
    </row>
    <row r="207" spans="1:20">
      <c r="A207" t="s">
        <v>312</v>
      </c>
      <c r="B207" s="2">
        <v>46172</v>
      </c>
      <c r="C207" t="s">
        <v>65</v>
      </c>
      <c r="D207" t="s">
        <v>75</v>
      </c>
      <c r="E207" t="s">
        <v>75</v>
      </c>
      <c r="F207" t="s">
        <v>149</v>
      </c>
      <c r="G207" t="s">
        <v>44</v>
      </c>
      <c r="H207" t="s">
        <v>50</v>
      </c>
      <c r="I207" t="s">
        <v>78</v>
      </c>
      <c r="J207" t="s">
        <v>27</v>
      </c>
      <c r="K207" t="s">
        <v>28</v>
      </c>
      <c r="L207" t="s">
        <v>92</v>
      </c>
      <c r="M207">
        <v>1</v>
      </c>
      <c r="N207" s="3">
        <v>15.79</v>
      </c>
      <c r="O207" s="4">
        <v>0</v>
      </c>
      <c r="P207" s="3">
        <v>0</v>
      </c>
      <c r="Q207" t="s">
        <v>30</v>
      </c>
      <c r="R207">
        <v>4</v>
      </c>
      <c r="S207" t="s">
        <v>41</v>
      </c>
    </row>
    <row r="208" spans="1:20">
      <c r="A208" t="s">
        <v>315</v>
      </c>
      <c r="B208" s="2">
        <v>46172</v>
      </c>
      <c r="C208" t="s">
        <v>65</v>
      </c>
      <c r="D208" t="s">
        <v>34</v>
      </c>
      <c r="E208" t="s">
        <v>34</v>
      </c>
      <c r="F208" t="s">
        <v>48</v>
      </c>
      <c r="G208" t="s">
        <v>24</v>
      </c>
      <c r="H208" t="s">
        <v>25</v>
      </c>
      <c r="I208" t="s">
        <v>56</v>
      </c>
      <c r="J208" t="s">
        <v>57</v>
      </c>
      <c r="K208" t="s">
        <v>58</v>
      </c>
      <c r="L208" t="s">
        <v>40</v>
      </c>
      <c r="M208">
        <v>4</v>
      </c>
      <c r="N208" s="3">
        <v>26.21</v>
      </c>
      <c r="O208" s="4">
        <v>0</v>
      </c>
      <c r="P208" s="3">
        <v>0</v>
      </c>
      <c r="Q208" t="s">
        <v>30</v>
      </c>
      <c r="R208">
        <v>2</v>
      </c>
      <c r="S208" t="s">
        <v>68</v>
      </c>
    </row>
    <row r="209" spans="1:20">
      <c r="A209" t="s">
        <v>295</v>
      </c>
      <c r="B209" s="2">
        <v>46174</v>
      </c>
      <c r="C209" t="s">
        <v>33</v>
      </c>
      <c r="D209" t="s">
        <v>80</v>
      </c>
      <c r="E209" t="s">
        <v>80</v>
      </c>
      <c r="F209" t="s">
        <v>123</v>
      </c>
      <c r="G209" t="s">
        <v>49</v>
      </c>
      <c r="H209" t="s">
        <v>77</v>
      </c>
      <c r="I209" t="s">
        <v>51</v>
      </c>
      <c r="J209" t="s">
        <v>52</v>
      </c>
      <c r="K209" t="s">
        <v>53</v>
      </c>
      <c r="L209" t="s">
        <v>92</v>
      </c>
      <c r="M209">
        <v>2</v>
      </c>
      <c r="N209" s="3">
        <v>100.02</v>
      </c>
      <c r="O209" s="4">
        <v>0.1</v>
      </c>
      <c r="P209" s="3">
        <v>0</v>
      </c>
      <c r="Q209" t="s">
        <v>85</v>
      </c>
      <c r="R209">
        <v>3</v>
      </c>
      <c r="S209" t="s">
        <v>68</v>
      </c>
    </row>
    <row r="210" spans="1:20">
      <c r="A210" t="s">
        <v>151</v>
      </c>
      <c r="B210" s="2">
        <v>46175</v>
      </c>
      <c r="C210" t="s">
        <v>33</v>
      </c>
      <c r="D210" t="s">
        <v>22</v>
      </c>
      <c r="E210" t="s">
        <v>22</v>
      </c>
      <c r="F210" t="s">
        <v>23</v>
      </c>
      <c r="G210" t="s">
        <v>44</v>
      </c>
      <c r="H210" t="s">
        <v>36</v>
      </c>
      <c r="I210" t="s">
        <v>78</v>
      </c>
      <c r="J210" t="s">
        <v>27</v>
      </c>
      <c r="K210" t="s">
        <v>28</v>
      </c>
      <c r="L210" t="s">
        <v>92</v>
      </c>
      <c r="M210">
        <v>5</v>
      </c>
      <c r="N210" s="3">
        <v>16.010000000000002</v>
      </c>
      <c r="O210" s="4">
        <v>0</v>
      </c>
      <c r="P210" s="3">
        <v>24.95</v>
      </c>
      <c r="Q210" t="s">
        <v>30</v>
      </c>
      <c r="R210">
        <v>5</v>
      </c>
      <c r="S210" t="s">
        <v>68</v>
      </c>
    </row>
    <row r="211" spans="1:20">
      <c r="A211" t="s">
        <v>72</v>
      </c>
      <c r="B211" s="2">
        <v>46176</v>
      </c>
      <c r="C211" t="s">
        <v>33</v>
      </c>
      <c r="D211" t="s">
        <v>34</v>
      </c>
      <c r="E211" t="s">
        <v>34</v>
      </c>
      <c r="F211" t="s">
        <v>48</v>
      </c>
      <c r="G211" t="s">
        <v>49</v>
      </c>
      <c r="H211" t="s">
        <v>25</v>
      </c>
      <c r="I211" t="s">
        <v>56</v>
      </c>
      <c r="J211" t="s">
        <v>57</v>
      </c>
      <c r="K211" t="s">
        <v>58</v>
      </c>
      <c r="L211" t="s">
        <v>67</v>
      </c>
      <c r="M211">
        <v>2</v>
      </c>
      <c r="N211" s="3">
        <v>23.46</v>
      </c>
      <c r="O211" s="4">
        <v>0.2</v>
      </c>
      <c r="P211" s="3">
        <v>9.9499999999999993</v>
      </c>
      <c r="Q211" t="s">
        <v>30</v>
      </c>
      <c r="R211">
        <v>4</v>
      </c>
      <c r="S211" t="s">
        <v>63</v>
      </c>
    </row>
    <row r="212" spans="1:20">
      <c r="A212" t="s">
        <v>345</v>
      </c>
      <c r="B212" s="2">
        <v>46176</v>
      </c>
      <c r="C212" t="s">
        <v>33</v>
      </c>
      <c r="D212" t="s">
        <v>34</v>
      </c>
      <c r="E212" t="s">
        <v>34</v>
      </c>
      <c r="F212" t="s">
        <v>48</v>
      </c>
      <c r="G212" t="s">
        <v>44</v>
      </c>
      <c r="H212" t="s">
        <v>36</v>
      </c>
      <c r="I212" t="s">
        <v>37</v>
      </c>
      <c r="J212" t="s">
        <v>38</v>
      </c>
      <c r="K212" t="s">
        <v>39</v>
      </c>
      <c r="L212" t="s">
        <v>59</v>
      </c>
      <c r="M212">
        <v>3</v>
      </c>
      <c r="N212" s="3">
        <v>6.1</v>
      </c>
      <c r="O212" s="4">
        <v>0</v>
      </c>
      <c r="P212" s="3">
        <v>0</v>
      </c>
      <c r="Q212" t="s">
        <v>30</v>
      </c>
      <c r="R212">
        <v>5</v>
      </c>
      <c r="S212" t="s">
        <v>63</v>
      </c>
    </row>
    <row r="213" spans="1:20">
      <c r="A213" t="s">
        <v>170</v>
      </c>
      <c r="B213" s="2">
        <v>46178</v>
      </c>
      <c r="C213" t="s">
        <v>33</v>
      </c>
      <c r="D213" t="s">
        <v>34</v>
      </c>
      <c r="E213" t="s">
        <v>34</v>
      </c>
      <c r="F213" t="s">
        <v>35</v>
      </c>
      <c r="G213" t="s">
        <v>44</v>
      </c>
      <c r="H213" t="s">
        <v>36</v>
      </c>
      <c r="I213" t="s">
        <v>145</v>
      </c>
      <c r="J213" t="s">
        <v>52</v>
      </c>
      <c r="K213" t="s">
        <v>99</v>
      </c>
      <c r="L213" t="s">
        <v>82</v>
      </c>
      <c r="M213">
        <v>6</v>
      </c>
      <c r="N213" s="3">
        <v>70.91</v>
      </c>
      <c r="O213" s="4">
        <v>0</v>
      </c>
      <c r="P213" s="3">
        <v>14.95</v>
      </c>
      <c r="Q213" t="s">
        <v>30</v>
      </c>
      <c r="R213">
        <v>3</v>
      </c>
      <c r="S213" t="s">
        <v>41</v>
      </c>
    </row>
    <row r="214" spans="1:20">
      <c r="A214" t="s">
        <v>182</v>
      </c>
      <c r="B214" s="2">
        <v>46178</v>
      </c>
      <c r="C214" t="s">
        <v>33</v>
      </c>
      <c r="D214" t="s">
        <v>101</v>
      </c>
      <c r="E214" t="s">
        <v>101</v>
      </c>
      <c r="F214" t="s">
        <v>108</v>
      </c>
      <c r="G214" t="s">
        <v>44</v>
      </c>
      <c r="H214" t="s">
        <v>36</v>
      </c>
      <c r="I214" t="s">
        <v>78</v>
      </c>
      <c r="J214" t="s">
        <v>27</v>
      </c>
      <c r="K214" t="s">
        <v>28</v>
      </c>
      <c r="L214" t="s">
        <v>67</v>
      </c>
      <c r="M214">
        <v>1</v>
      </c>
      <c r="N214" s="3">
        <v>16.510000000000002</v>
      </c>
      <c r="O214" s="4">
        <v>0.1</v>
      </c>
      <c r="P214" s="3">
        <v>24.95</v>
      </c>
      <c r="Q214" t="s">
        <v>30</v>
      </c>
      <c r="R214">
        <v>5</v>
      </c>
      <c r="S214" t="s">
        <v>68</v>
      </c>
    </row>
    <row r="215" spans="1:20">
      <c r="A215" t="s">
        <v>189</v>
      </c>
      <c r="B215" s="2">
        <v>46178</v>
      </c>
      <c r="C215" t="s">
        <v>33</v>
      </c>
      <c r="D215" t="s">
        <v>34</v>
      </c>
      <c r="E215" t="s">
        <v>34</v>
      </c>
      <c r="F215" t="s">
        <v>190</v>
      </c>
      <c r="G215" t="s">
        <v>44</v>
      </c>
      <c r="H215" t="s">
        <v>36</v>
      </c>
      <c r="I215" t="s">
        <v>139</v>
      </c>
      <c r="J215" t="s">
        <v>57</v>
      </c>
      <c r="K215" t="s">
        <v>99</v>
      </c>
      <c r="L215" t="s">
        <v>46</v>
      </c>
      <c r="M215">
        <v>3</v>
      </c>
      <c r="N215" s="3">
        <v>12.72</v>
      </c>
      <c r="O215" s="4">
        <v>0.15</v>
      </c>
      <c r="P215" s="3">
        <v>0</v>
      </c>
      <c r="Q215" t="s">
        <v>30</v>
      </c>
      <c r="R215">
        <v>4</v>
      </c>
      <c r="S215" t="s">
        <v>68</v>
      </c>
    </row>
    <row r="216" spans="1:20">
      <c r="A216" t="s">
        <v>236</v>
      </c>
      <c r="B216" s="2">
        <v>46179</v>
      </c>
      <c r="C216" t="s">
        <v>33</v>
      </c>
      <c r="D216" t="s">
        <v>80</v>
      </c>
      <c r="E216" t="s">
        <v>80</v>
      </c>
      <c r="F216" t="s">
        <v>97</v>
      </c>
      <c r="G216" t="s">
        <v>44</v>
      </c>
      <c r="H216" t="s">
        <v>77</v>
      </c>
      <c r="I216" t="s">
        <v>61</v>
      </c>
      <c r="J216" t="s">
        <v>38</v>
      </c>
      <c r="K216" t="s">
        <v>62</v>
      </c>
      <c r="L216" t="s">
        <v>92</v>
      </c>
      <c r="M216">
        <v>3</v>
      </c>
      <c r="N216" s="3">
        <v>17.670000000000002</v>
      </c>
      <c r="O216" s="4">
        <v>0</v>
      </c>
      <c r="P216" s="3">
        <v>9.9499999999999993</v>
      </c>
      <c r="Q216" t="s">
        <v>30</v>
      </c>
      <c r="R216">
        <v>5</v>
      </c>
      <c r="S216" t="s">
        <v>41</v>
      </c>
    </row>
    <row r="217" spans="1:20">
      <c r="A217" t="s">
        <v>137</v>
      </c>
      <c r="B217" s="2">
        <v>46180</v>
      </c>
      <c r="C217" t="s">
        <v>33</v>
      </c>
      <c r="D217" t="s">
        <v>75</v>
      </c>
      <c r="E217" t="s">
        <v>75</v>
      </c>
      <c r="F217" t="s">
        <v>84</v>
      </c>
      <c r="G217" t="s">
        <v>44</v>
      </c>
      <c r="H217" t="s">
        <v>77</v>
      </c>
      <c r="I217" t="s">
        <v>37</v>
      </c>
      <c r="J217" t="s">
        <v>38</v>
      </c>
      <c r="K217" t="s">
        <v>39</v>
      </c>
      <c r="L217" t="s">
        <v>67</v>
      </c>
      <c r="M217">
        <v>6</v>
      </c>
      <c r="N217" s="3">
        <v>6.25</v>
      </c>
      <c r="O217" s="4">
        <v>0.05</v>
      </c>
      <c r="P217" s="3">
        <v>34.950000000000003</v>
      </c>
      <c r="Q217" t="s">
        <v>30</v>
      </c>
      <c r="R217">
        <v>5</v>
      </c>
      <c r="S217" t="s">
        <v>41</v>
      </c>
    </row>
    <row r="218" spans="1:20">
      <c r="A218" t="s">
        <v>197</v>
      </c>
      <c r="B218" s="2">
        <v>46180</v>
      </c>
      <c r="C218" t="s">
        <v>33</v>
      </c>
      <c r="D218" t="s">
        <v>34</v>
      </c>
      <c r="E218" t="s">
        <v>34</v>
      </c>
      <c r="F218" t="s">
        <v>48</v>
      </c>
      <c r="G218" t="s">
        <v>49</v>
      </c>
      <c r="H218" t="s">
        <v>77</v>
      </c>
      <c r="I218" t="s">
        <v>78</v>
      </c>
      <c r="J218" t="s">
        <v>27</v>
      </c>
      <c r="K218" t="s">
        <v>28</v>
      </c>
      <c r="L218" t="s">
        <v>40</v>
      </c>
      <c r="M218">
        <v>4</v>
      </c>
      <c r="N218" s="3">
        <v>16.850000000000001</v>
      </c>
      <c r="O218" s="4">
        <v>0.3</v>
      </c>
      <c r="P218" s="3">
        <v>24.95</v>
      </c>
      <c r="Q218" t="s">
        <v>30</v>
      </c>
      <c r="R218">
        <v>2</v>
      </c>
      <c r="S218" t="s">
        <v>63</v>
      </c>
      <c r="T218" t="s">
        <v>143</v>
      </c>
    </row>
    <row r="219" spans="1:20">
      <c r="A219" t="s">
        <v>107</v>
      </c>
      <c r="B219" s="2">
        <v>46181</v>
      </c>
      <c r="C219" t="s">
        <v>33</v>
      </c>
      <c r="D219" t="s">
        <v>101</v>
      </c>
      <c r="E219" t="s">
        <v>101</v>
      </c>
      <c r="F219" t="s">
        <v>108</v>
      </c>
      <c r="G219" t="s">
        <v>44</v>
      </c>
      <c r="H219" t="s">
        <v>25</v>
      </c>
      <c r="I219" t="s">
        <v>61</v>
      </c>
      <c r="J219" t="s">
        <v>38</v>
      </c>
      <c r="K219" t="s">
        <v>62</v>
      </c>
      <c r="L219" t="s">
        <v>54</v>
      </c>
      <c r="M219">
        <v>5</v>
      </c>
      <c r="N219" s="3">
        <v>17.61</v>
      </c>
      <c r="O219" s="4">
        <v>0</v>
      </c>
      <c r="P219" s="3">
        <v>5.95</v>
      </c>
      <c r="Q219" t="s">
        <v>85</v>
      </c>
      <c r="R219">
        <v>2</v>
      </c>
      <c r="S219" t="s">
        <v>41</v>
      </c>
    </row>
    <row r="220" spans="1:20">
      <c r="A220" t="s">
        <v>283</v>
      </c>
      <c r="B220" s="2">
        <v>46181</v>
      </c>
      <c r="C220" t="s">
        <v>33</v>
      </c>
      <c r="D220" t="s">
        <v>80</v>
      </c>
      <c r="E220" t="s">
        <v>80</v>
      </c>
      <c r="F220" t="s">
        <v>81</v>
      </c>
      <c r="G220" t="s">
        <v>44</v>
      </c>
      <c r="H220" t="s">
        <v>25</v>
      </c>
      <c r="I220" t="s">
        <v>26</v>
      </c>
      <c r="J220" t="s">
        <v>27</v>
      </c>
      <c r="K220" t="s">
        <v>28</v>
      </c>
      <c r="L220" t="s">
        <v>29</v>
      </c>
      <c r="M220">
        <v>1</v>
      </c>
      <c r="N220" s="3">
        <v>71.510000000000005</v>
      </c>
      <c r="O220" s="4">
        <v>0.2</v>
      </c>
      <c r="P220" s="3">
        <v>19.95</v>
      </c>
      <c r="Q220" t="s">
        <v>30</v>
      </c>
      <c r="R220">
        <v>4</v>
      </c>
      <c r="S220" t="s">
        <v>41</v>
      </c>
    </row>
    <row r="221" spans="1:20">
      <c r="A221" t="s">
        <v>285</v>
      </c>
      <c r="B221" s="2">
        <v>46181</v>
      </c>
      <c r="C221" t="s">
        <v>33</v>
      </c>
      <c r="D221" t="s">
        <v>22</v>
      </c>
      <c r="E221" t="s">
        <v>22</v>
      </c>
      <c r="F221" t="s">
        <v>87</v>
      </c>
      <c r="G221" t="s">
        <v>44</v>
      </c>
      <c r="H221" t="s">
        <v>36</v>
      </c>
      <c r="I221" t="s">
        <v>45</v>
      </c>
      <c r="J221" t="s">
        <v>27</v>
      </c>
      <c r="K221" t="s">
        <v>28</v>
      </c>
      <c r="L221" t="s">
        <v>59</v>
      </c>
      <c r="M221">
        <v>1</v>
      </c>
      <c r="N221" s="3">
        <v>28.41</v>
      </c>
      <c r="O221" s="4">
        <v>0</v>
      </c>
      <c r="P221" s="3">
        <v>14.95</v>
      </c>
      <c r="Q221" t="s">
        <v>85</v>
      </c>
      <c r="R221">
        <v>3</v>
      </c>
      <c r="S221" t="s">
        <v>63</v>
      </c>
    </row>
    <row r="222" spans="1:20">
      <c r="A222" t="s">
        <v>148</v>
      </c>
      <c r="B222" s="2">
        <v>46183</v>
      </c>
      <c r="C222" t="s">
        <v>33</v>
      </c>
      <c r="D222" t="s">
        <v>75</v>
      </c>
      <c r="E222" t="s">
        <v>75</v>
      </c>
      <c r="F222" t="s">
        <v>149</v>
      </c>
      <c r="G222" t="s">
        <v>44</v>
      </c>
      <c r="H222" t="s">
        <v>36</v>
      </c>
      <c r="I222" t="s">
        <v>26</v>
      </c>
      <c r="J222" t="s">
        <v>27</v>
      </c>
      <c r="K222" t="s">
        <v>28</v>
      </c>
      <c r="L222" t="s">
        <v>46</v>
      </c>
      <c r="M222">
        <v>2</v>
      </c>
      <c r="N222" s="3">
        <v>60.96</v>
      </c>
      <c r="O222" s="4">
        <v>0</v>
      </c>
      <c r="P222" s="3">
        <v>0</v>
      </c>
      <c r="Q222" t="s">
        <v>30</v>
      </c>
      <c r="R222">
        <v>5</v>
      </c>
      <c r="S222" t="s">
        <v>68</v>
      </c>
    </row>
    <row r="223" spans="1:20">
      <c r="A223" t="s">
        <v>318</v>
      </c>
      <c r="B223" s="2">
        <v>46184</v>
      </c>
      <c r="C223" t="s">
        <v>33</v>
      </c>
      <c r="D223" t="s">
        <v>34</v>
      </c>
      <c r="E223" t="s">
        <v>34</v>
      </c>
      <c r="F223" t="s">
        <v>35</v>
      </c>
      <c r="G223" t="s">
        <v>44</v>
      </c>
      <c r="H223" t="s">
        <v>50</v>
      </c>
      <c r="I223" t="s">
        <v>51</v>
      </c>
      <c r="J223" t="s">
        <v>52</v>
      </c>
      <c r="K223" t="s">
        <v>53</v>
      </c>
      <c r="L223" t="s">
        <v>59</v>
      </c>
      <c r="M223">
        <v>12</v>
      </c>
      <c r="N223" s="3">
        <v>98.63</v>
      </c>
      <c r="O223" s="4">
        <v>0.05</v>
      </c>
      <c r="P223" s="3">
        <v>24.95</v>
      </c>
      <c r="Q223" t="s">
        <v>30</v>
      </c>
      <c r="R223">
        <v>2</v>
      </c>
      <c r="S223" t="s">
        <v>41</v>
      </c>
    </row>
    <row r="224" spans="1:20">
      <c r="A224" t="s">
        <v>124</v>
      </c>
      <c r="B224" s="2">
        <v>46186</v>
      </c>
      <c r="C224" t="s">
        <v>33</v>
      </c>
      <c r="D224" t="s">
        <v>80</v>
      </c>
      <c r="E224" t="s">
        <v>80</v>
      </c>
      <c r="F224" t="s">
        <v>123</v>
      </c>
      <c r="G224" t="s">
        <v>49</v>
      </c>
      <c r="H224" t="s">
        <v>50</v>
      </c>
      <c r="I224" t="s">
        <v>125</v>
      </c>
      <c r="J224" t="s">
        <v>38</v>
      </c>
      <c r="K224" t="s">
        <v>39</v>
      </c>
      <c r="L224" t="s">
        <v>29</v>
      </c>
      <c r="M224">
        <v>2</v>
      </c>
      <c r="N224" s="3">
        <v>19.27</v>
      </c>
      <c r="O224" s="4">
        <v>0.05</v>
      </c>
      <c r="P224" s="3">
        <v>5.95</v>
      </c>
      <c r="Q224" t="s">
        <v>30</v>
      </c>
      <c r="R224">
        <v>4</v>
      </c>
      <c r="S224" t="s">
        <v>41</v>
      </c>
    </row>
    <row r="225" spans="1:20">
      <c r="A225" t="s">
        <v>193</v>
      </c>
      <c r="B225" s="2">
        <v>46186</v>
      </c>
      <c r="C225" t="s">
        <v>33</v>
      </c>
      <c r="D225" t="s">
        <v>80</v>
      </c>
      <c r="E225" t="s">
        <v>80</v>
      </c>
      <c r="F225" t="s">
        <v>81</v>
      </c>
      <c r="G225" t="s">
        <v>49</v>
      </c>
      <c r="H225" t="s">
        <v>50</v>
      </c>
      <c r="I225" t="s">
        <v>127</v>
      </c>
      <c r="J225" t="s">
        <v>57</v>
      </c>
      <c r="K225" t="s">
        <v>58</v>
      </c>
      <c r="L225" t="s">
        <v>67</v>
      </c>
      <c r="M225">
        <v>3</v>
      </c>
      <c r="N225" s="3">
        <v>5.32</v>
      </c>
      <c r="O225" s="4">
        <v>0</v>
      </c>
      <c r="P225" s="3">
        <v>9.9499999999999993</v>
      </c>
      <c r="Q225" t="s">
        <v>30</v>
      </c>
      <c r="R225">
        <v>2</v>
      </c>
      <c r="S225" t="s">
        <v>63</v>
      </c>
    </row>
    <row r="226" spans="1:20">
      <c r="A226" t="s">
        <v>209</v>
      </c>
      <c r="B226" s="2">
        <v>46186</v>
      </c>
      <c r="C226" t="s">
        <v>33</v>
      </c>
      <c r="D226" t="s">
        <v>22</v>
      </c>
      <c r="E226" t="s">
        <v>22</v>
      </c>
      <c r="F226" t="s">
        <v>87</v>
      </c>
      <c r="G226" t="s">
        <v>49</v>
      </c>
      <c r="H226" t="s">
        <v>77</v>
      </c>
      <c r="I226" t="s">
        <v>26</v>
      </c>
      <c r="J226" t="s">
        <v>27</v>
      </c>
      <c r="K226" t="s">
        <v>28</v>
      </c>
      <c r="L226" t="s">
        <v>46</v>
      </c>
      <c r="M226">
        <v>6</v>
      </c>
      <c r="N226" s="3">
        <v>58.77</v>
      </c>
      <c r="O226" s="4">
        <v>0.2</v>
      </c>
      <c r="P226" s="3">
        <v>9.9499999999999993</v>
      </c>
      <c r="Q226" t="s">
        <v>30</v>
      </c>
      <c r="R226">
        <v>4</v>
      </c>
      <c r="S226" t="s">
        <v>63</v>
      </c>
    </row>
    <row r="227" spans="1:20">
      <c r="A227" t="s">
        <v>239</v>
      </c>
      <c r="B227" s="2">
        <v>46186</v>
      </c>
      <c r="C227" t="s">
        <v>33</v>
      </c>
      <c r="D227" t="s">
        <v>34</v>
      </c>
      <c r="E227" t="s">
        <v>34</v>
      </c>
      <c r="F227" t="s">
        <v>35</v>
      </c>
      <c r="G227" t="s">
        <v>49</v>
      </c>
      <c r="H227" t="s">
        <v>77</v>
      </c>
      <c r="I227" t="s">
        <v>153</v>
      </c>
      <c r="J227" t="s">
        <v>27</v>
      </c>
      <c r="K227" t="s">
        <v>154</v>
      </c>
      <c r="L227" t="s">
        <v>59</v>
      </c>
      <c r="M227">
        <v>2</v>
      </c>
      <c r="N227" s="3">
        <v>710.95</v>
      </c>
      <c r="O227" s="4">
        <v>0.05</v>
      </c>
      <c r="P227" s="3">
        <v>24.95</v>
      </c>
      <c r="Q227" t="s">
        <v>30</v>
      </c>
      <c r="R227">
        <v>3</v>
      </c>
      <c r="S227" t="s">
        <v>63</v>
      </c>
    </row>
    <row r="228" spans="1:20">
      <c r="A228" t="s">
        <v>281</v>
      </c>
      <c r="B228" s="2">
        <v>46186</v>
      </c>
      <c r="C228" t="s">
        <v>33</v>
      </c>
      <c r="D228" t="s">
        <v>34</v>
      </c>
      <c r="E228" t="s">
        <v>34</v>
      </c>
      <c r="F228" t="s">
        <v>35</v>
      </c>
      <c r="G228" t="s">
        <v>44</v>
      </c>
      <c r="H228" t="s">
        <v>25</v>
      </c>
      <c r="I228" t="s">
        <v>135</v>
      </c>
      <c r="J228" t="s">
        <v>57</v>
      </c>
      <c r="K228" t="s">
        <v>112</v>
      </c>
      <c r="L228" t="s">
        <v>29</v>
      </c>
      <c r="M228">
        <v>4</v>
      </c>
      <c r="N228" s="3">
        <v>3.56</v>
      </c>
      <c r="O228" s="4">
        <v>0.15</v>
      </c>
      <c r="P228" s="3">
        <v>5.95</v>
      </c>
      <c r="Q228" t="s">
        <v>30</v>
      </c>
      <c r="R228">
        <v>5</v>
      </c>
      <c r="S228" t="s">
        <v>31</v>
      </c>
    </row>
    <row r="229" spans="1:20">
      <c r="A229" t="s">
        <v>201</v>
      </c>
      <c r="B229" s="2">
        <v>46187</v>
      </c>
      <c r="C229" t="s">
        <v>33</v>
      </c>
      <c r="D229" t="s">
        <v>22</v>
      </c>
      <c r="E229" t="s">
        <v>22</v>
      </c>
      <c r="F229" t="s">
        <v>87</v>
      </c>
      <c r="G229" t="s">
        <v>49</v>
      </c>
      <c r="H229" t="s">
        <v>50</v>
      </c>
      <c r="I229" t="s">
        <v>78</v>
      </c>
      <c r="J229" t="s">
        <v>27</v>
      </c>
      <c r="K229" t="s">
        <v>28</v>
      </c>
      <c r="L229" t="s">
        <v>82</v>
      </c>
      <c r="M229">
        <v>6</v>
      </c>
      <c r="N229" s="3">
        <v>18.059999999999999</v>
      </c>
      <c r="O229" s="4">
        <v>0.15</v>
      </c>
      <c r="P229" s="3">
        <v>9.9499999999999993</v>
      </c>
      <c r="Q229" t="s">
        <v>30</v>
      </c>
      <c r="R229">
        <v>5</v>
      </c>
      <c r="S229" t="s">
        <v>41</v>
      </c>
    </row>
    <row r="230" spans="1:20">
      <c r="A230" t="s">
        <v>249</v>
      </c>
      <c r="B230" s="2">
        <v>46187</v>
      </c>
      <c r="C230" t="s">
        <v>33</v>
      </c>
      <c r="D230" t="s">
        <v>22</v>
      </c>
      <c r="E230" t="s">
        <v>22</v>
      </c>
      <c r="F230" t="s">
        <v>66</v>
      </c>
      <c r="G230" t="s">
        <v>44</v>
      </c>
      <c r="H230" t="s">
        <v>25</v>
      </c>
      <c r="I230" t="s">
        <v>111</v>
      </c>
      <c r="J230" t="s">
        <v>57</v>
      </c>
      <c r="K230" t="s">
        <v>112</v>
      </c>
      <c r="L230" t="s">
        <v>54</v>
      </c>
      <c r="M230">
        <v>10</v>
      </c>
      <c r="N230" s="3">
        <v>6.93</v>
      </c>
      <c r="O230" s="4">
        <v>0.05</v>
      </c>
      <c r="P230" s="3">
        <v>34.950000000000003</v>
      </c>
      <c r="Q230" t="s">
        <v>30</v>
      </c>
      <c r="R230">
        <v>5</v>
      </c>
      <c r="S230" t="s">
        <v>41</v>
      </c>
    </row>
    <row r="231" spans="1:20">
      <c r="A231" t="s">
        <v>343</v>
      </c>
      <c r="B231" s="2">
        <v>46187</v>
      </c>
      <c r="C231" t="s">
        <v>33</v>
      </c>
      <c r="D231" t="s">
        <v>22</v>
      </c>
      <c r="E231" t="s">
        <v>22</v>
      </c>
      <c r="F231" t="s">
        <v>23</v>
      </c>
      <c r="G231" t="s">
        <v>49</v>
      </c>
      <c r="H231" t="s">
        <v>25</v>
      </c>
      <c r="I231" t="s">
        <v>114</v>
      </c>
      <c r="J231" t="s">
        <v>52</v>
      </c>
      <c r="K231" t="s">
        <v>115</v>
      </c>
      <c r="L231" t="s">
        <v>82</v>
      </c>
      <c r="M231">
        <v>2</v>
      </c>
      <c r="N231" s="3">
        <v>323.04000000000002</v>
      </c>
      <c r="O231" s="4">
        <v>0.05</v>
      </c>
      <c r="P231" s="3">
        <v>5.95</v>
      </c>
      <c r="Q231" t="s">
        <v>30</v>
      </c>
      <c r="R231">
        <v>5</v>
      </c>
      <c r="S231" t="s">
        <v>41</v>
      </c>
    </row>
    <row r="232" spans="1:20">
      <c r="A232" t="s">
        <v>175</v>
      </c>
      <c r="B232" s="2">
        <v>46188</v>
      </c>
      <c r="C232" t="s">
        <v>33</v>
      </c>
      <c r="D232" t="s">
        <v>22</v>
      </c>
      <c r="E232" t="s">
        <v>22</v>
      </c>
      <c r="F232" t="s">
        <v>66</v>
      </c>
      <c r="G232" t="s">
        <v>24</v>
      </c>
      <c r="H232" t="s">
        <v>25</v>
      </c>
      <c r="I232" t="s">
        <v>61</v>
      </c>
      <c r="J232" t="s">
        <v>38</v>
      </c>
      <c r="K232" t="s">
        <v>62</v>
      </c>
      <c r="L232" t="s">
        <v>82</v>
      </c>
      <c r="M232">
        <v>1</v>
      </c>
      <c r="N232" s="3">
        <v>17.399999999999999</v>
      </c>
      <c r="O232" s="4">
        <v>0.2</v>
      </c>
      <c r="P232" s="3">
        <v>9.9499999999999993</v>
      </c>
      <c r="Q232" t="s">
        <v>30</v>
      </c>
      <c r="R232">
        <v>4</v>
      </c>
      <c r="S232" t="s">
        <v>41</v>
      </c>
    </row>
    <row r="233" spans="1:20">
      <c r="A233" t="s">
        <v>280</v>
      </c>
      <c r="B233" s="2">
        <v>46188</v>
      </c>
      <c r="C233" t="s">
        <v>33</v>
      </c>
      <c r="D233" t="s">
        <v>22</v>
      </c>
      <c r="E233" t="s">
        <v>22</v>
      </c>
      <c r="F233" t="s">
        <v>23</v>
      </c>
      <c r="G233" t="s">
        <v>44</v>
      </c>
      <c r="H233" t="s">
        <v>36</v>
      </c>
      <c r="I233" t="s">
        <v>26</v>
      </c>
      <c r="J233" t="s">
        <v>27</v>
      </c>
      <c r="K233" t="s">
        <v>28</v>
      </c>
      <c r="L233" t="s">
        <v>92</v>
      </c>
      <c r="M233">
        <v>1</v>
      </c>
      <c r="N233" s="3">
        <v>74.709999999999994</v>
      </c>
      <c r="O233" s="4">
        <v>0.15</v>
      </c>
      <c r="P233" s="3">
        <v>19.95</v>
      </c>
      <c r="Q233" t="s">
        <v>30</v>
      </c>
      <c r="R233">
        <v>4</v>
      </c>
      <c r="S233" t="s">
        <v>31</v>
      </c>
    </row>
    <row r="234" spans="1:20">
      <c r="A234" t="s">
        <v>32</v>
      </c>
      <c r="B234" s="2">
        <v>46189</v>
      </c>
      <c r="C234" t="s">
        <v>33</v>
      </c>
      <c r="D234" t="s">
        <v>34</v>
      </c>
      <c r="E234" t="s">
        <v>34</v>
      </c>
      <c r="F234" t="s">
        <v>35</v>
      </c>
      <c r="G234" t="s">
        <v>24</v>
      </c>
      <c r="H234" t="s">
        <v>36</v>
      </c>
      <c r="I234" t="s">
        <v>37</v>
      </c>
      <c r="J234" t="s">
        <v>38</v>
      </c>
      <c r="K234" t="s">
        <v>39</v>
      </c>
      <c r="L234" t="s">
        <v>40</v>
      </c>
      <c r="M234">
        <v>5</v>
      </c>
      <c r="N234" s="3">
        <v>6.17</v>
      </c>
      <c r="O234" s="4">
        <v>0.05</v>
      </c>
      <c r="P234" s="3">
        <v>9.9499999999999993</v>
      </c>
      <c r="Q234" t="s">
        <v>30</v>
      </c>
      <c r="R234">
        <v>3</v>
      </c>
      <c r="S234" t="s">
        <v>41</v>
      </c>
    </row>
    <row r="235" spans="1:20">
      <c r="A235" t="s">
        <v>327</v>
      </c>
      <c r="B235" s="2">
        <v>46189</v>
      </c>
      <c r="C235" t="s">
        <v>33</v>
      </c>
      <c r="D235" t="s">
        <v>101</v>
      </c>
      <c r="E235" t="s">
        <v>101</v>
      </c>
      <c r="F235" t="s">
        <v>110</v>
      </c>
      <c r="G235" t="s">
        <v>44</v>
      </c>
      <c r="H235" t="s">
        <v>25</v>
      </c>
      <c r="I235" t="s">
        <v>26</v>
      </c>
      <c r="J235" t="s">
        <v>27</v>
      </c>
      <c r="K235" t="s">
        <v>28</v>
      </c>
      <c r="L235" t="s">
        <v>67</v>
      </c>
      <c r="M235">
        <v>5</v>
      </c>
      <c r="N235" s="3">
        <v>62.37</v>
      </c>
      <c r="O235" s="4">
        <v>0.15</v>
      </c>
      <c r="P235" s="3">
        <v>0</v>
      </c>
      <c r="Q235" t="s">
        <v>30</v>
      </c>
      <c r="R235">
        <v>5</v>
      </c>
      <c r="S235" t="s">
        <v>41</v>
      </c>
    </row>
    <row r="236" spans="1:20">
      <c r="A236" t="s">
        <v>157</v>
      </c>
      <c r="B236" s="2">
        <v>46191</v>
      </c>
      <c r="C236" t="s">
        <v>33</v>
      </c>
      <c r="D236" t="s">
        <v>101</v>
      </c>
      <c r="E236" t="s">
        <v>101</v>
      </c>
      <c r="F236" t="s">
        <v>102</v>
      </c>
      <c r="G236" t="s">
        <v>49</v>
      </c>
      <c r="H236" t="s">
        <v>36</v>
      </c>
      <c r="I236" t="s">
        <v>135</v>
      </c>
      <c r="J236" t="s">
        <v>57</v>
      </c>
      <c r="K236" t="s">
        <v>112</v>
      </c>
      <c r="L236" t="s">
        <v>82</v>
      </c>
      <c r="M236">
        <v>7</v>
      </c>
      <c r="N236" s="3">
        <v>3.58</v>
      </c>
      <c r="O236" s="4">
        <v>0</v>
      </c>
      <c r="P236" s="3">
        <v>24.95</v>
      </c>
      <c r="Q236" t="s">
        <v>30</v>
      </c>
      <c r="R236">
        <v>2</v>
      </c>
      <c r="S236" t="s">
        <v>31</v>
      </c>
    </row>
    <row r="237" spans="1:20">
      <c r="A237" t="s">
        <v>161</v>
      </c>
      <c r="B237" s="2">
        <v>46191</v>
      </c>
      <c r="C237" t="s">
        <v>33</v>
      </c>
      <c r="D237" t="s">
        <v>101</v>
      </c>
      <c r="E237" t="s">
        <v>101</v>
      </c>
      <c r="F237" t="s">
        <v>110</v>
      </c>
      <c r="G237" t="s">
        <v>44</v>
      </c>
      <c r="H237" t="s">
        <v>50</v>
      </c>
      <c r="I237" t="s">
        <v>145</v>
      </c>
      <c r="J237" t="s">
        <v>52</v>
      </c>
      <c r="K237" t="s">
        <v>99</v>
      </c>
      <c r="L237" t="s">
        <v>29</v>
      </c>
      <c r="M237">
        <v>3</v>
      </c>
      <c r="N237" s="3">
        <v>76.680000000000007</v>
      </c>
      <c r="O237" s="4">
        <v>0</v>
      </c>
      <c r="P237" s="3">
        <v>19.95</v>
      </c>
      <c r="Q237" t="s">
        <v>30</v>
      </c>
      <c r="R237">
        <v>5</v>
      </c>
      <c r="S237" t="s">
        <v>31</v>
      </c>
      <c r="T237" t="s">
        <v>162</v>
      </c>
    </row>
    <row r="238" spans="1:20">
      <c r="A238" t="s">
        <v>181</v>
      </c>
      <c r="B238" s="2">
        <v>46191</v>
      </c>
      <c r="C238" t="s">
        <v>33</v>
      </c>
      <c r="D238" t="s">
        <v>80</v>
      </c>
      <c r="E238" t="s">
        <v>80</v>
      </c>
      <c r="F238" t="s">
        <v>133</v>
      </c>
      <c r="G238" t="s">
        <v>44</v>
      </c>
      <c r="H238" t="s">
        <v>25</v>
      </c>
      <c r="I238" t="s">
        <v>139</v>
      </c>
      <c r="J238" t="s">
        <v>57</v>
      </c>
      <c r="K238" t="s">
        <v>99</v>
      </c>
      <c r="L238" t="s">
        <v>92</v>
      </c>
      <c r="M238">
        <v>3</v>
      </c>
      <c r="N238" s="3">
        <v>12.99</v>
      </c>
      <c r="O238" s="4">
        <v>0.3</v>
      </c>
      <c r="P238" s="3">
        <v>0</v>
      </c>
      <c r="Q238" t="s">
        <v>85</v>
      </c>
      <c r="R238">
        <v>3</v>
      </c>
      <c r="S238" t="s">
        <v>63</v>
      </c>
    </row>
    <row r="239" spans="1:20">
      <c r="A239" t="s">
        <v>47</v>
      </c>
      <c r="B239" s="2">
        <v>46192</v>
      </c>
      <c r="C239" t="s">
        <v>33</v>
      </c>
      <c r="D239" t="s">
        <v>34</v>
      </c>
      <c r="E239" t="s">
        <v>34</v>
      </c>
      <c r="F239" t="s">
        <v>48</v>
      </c>
      <c r="G239" t="s">
        <v>49</v>
      </c>
      <c r="H239" t="s">
        <v>50</v>
      </c>
      <c r="I239" t="s">
        <v>51</v>
      </c>
      <c r="J239" t="s">
        <v>52</v>
      </c>
      <c r="K239" t="s">
        <v>53</v>
      </c>
      <c r="L239" t="s">
        <v>54</v>
      </c>
      <c r="M239">
        <v>2</v>
      </c>
      <c r="N239" s="3">
        <v>97.09</v>
      </c>
      <c r="O239" s="4">
        <v>0</v>
      </c>
      <c r="P239" s="3">
        <v>0</v>
      </c>
      <c r="Q239" t="s">
        <v>30</v>
      </c>
      <c r="R239">
        <v>2</v>
      </c>
      <c r="S239" t="s">
        <v>41</v>
      </c>
    </row>
    <row r="240" spans="1:20">
      <c r="A240" t="s">
        <v>215</v>
      </c>
      <c r="B240" s="2">
        <v>46192</v>
      </c>
      <c r="C240" t="s">
        <v>33</v>
      </c>
      <c r="D240" t="s">
        <v>22</v>
      </c>
      <c r="E240" t="s">
        <v>22</v>
      </c>
      <c r="F240" t="s">
        <v>23</v>
      </c>
      <c r="G240" t="s">
        <v>44</v>
      </c>
      <c r="H240" t="s">
        <v>25</v>
      </c>
      <c r="I240" t="s">
        <v>127</v>
      </c>
      <c r="J240" t="s">
        <v>57</v>
      </c>
      <c r="K240" t="s">
        <v>58</v>
      </c>
      <c r="L240" t="s">
        <v>40</v>
      </c>
      <c r="M240">
        <v>2</v>
      </c>
      <c r="N240" s="3">
        <v>5.52</v>
      </c>
      <c r="O240" s="4">
        <v>0.1</v>
      </c>
      <c r="P240" s="3">
        <v>5.95</v>
      </c>
      <c r="Q240" t="s">
        <v>30</v>
      </c>
      <c r="R240">
        <v>5</v>
      </c>
      <c r="S240" t="s">
        <v>63</v>
      </c>
    </row>
    <row r="241" spans="1:20">
      <c r="A241" t="s">
        <v>69</v>
      </c>
      <c r="B241" s="2">
        <v>46197</v>
      </c>
      <c r="C241" t="s">
        <v>33</v>
      </c>
      <c r="D241" t="s">
        <v>22</v>
      </c>
      <c r="E241" t="s">
        <v>22</v>
      </c>
      <c r="F241" t="s">
        <v>66</v>
      </c>
      <c r="G241" t="s">
        <v>49</v>
      </c>
      <c r="H241" t="s">
        <v>25</v>
      </c>
      <c r="I241" t="s">
        <v>26</v>
      </c>
      <c r="J241" t="s">
        <v>27</v>
      </c>
      <c r="K241" t="s">
        <v>28</v>
      </c>
      <c r="L241" t="s">
        <v>46</v>
      </c>
      <c r="M241">
        <v>3</v>
      </c>
      <c r="N241" s="3">
        <v>60.06</v>
      </c>
      <c r="O241" s="4">
        <v>0.4</v>
      </c>
      <c r="P241" s="3">
        <v>19.95</v>
      </c>
      <c r="Q241" t="s">
        <v>30</v>
      </c>
      <c r="R241">
        <v>3</v>
      </c>
      <c r="S241" t="s">
        <v>41</v>
      </c>
    </row>
    <row r="242" spans="1:20">
      <c r="A242" t="s">
        <v>117</v>
      </c>
      <c r="B242" s="2">
        <v>46198</v>
      </c>
      <c r="C242" t="s">
        <v>33</v>
      </c>
      <c r="D242" t="s">
        <v>75</v>
      </c>
      <c r="E242" t="s">
        <v>75</v>
      </c>
      <c r="F242" t="s">
        <v>76</v>
      </c>
      <c r="G242" t="s">
        <v>49</v>
      </c>
      <c r="H242" t="s">
        <v>50</v>
      </c>
      <c r="I242" t="s">
        <v>37</v>
      </c>
      <c r="J242" t="s">
        <v>38</v>
      </c>
      <c r="K242" t="s">
        <v>39</v>
      </c>
      <c r="L242" t="s">
        <v>67</v>
      </c>
      <c r="M242">
        <v>5</v>
      </c>
      <c r="N242" s="3">
        <v>6.38</v>
      </c>
      <c r="O242" s="4">
        <v>0.1</v>
      </c>
      <c r="P242" s="3">
        <v>9.9499999999999993</v>
      </c>
      <c r="Q242" t="s">
        <v>30</v>
      </c>
      <c r="R242">
        <v>5</v>
      </c>
      <c r="S242" t="s">
        <v>41</v>
      </c>
    </row>
    <row r="243" spans="1:20">
      <c r="A243" t="s">
        <v>338</v>
      </c>
      <c r="B243" s="2">
        <v>46198</v>
      </c>
      <c r="C243" t="s">
        <v>33</v>
      </c>
      <c r="D243" t="s">
        <v>101</v>
      </c>
      <c r="E243" t="s">
        <v>101</v>
      </c>
      <c r="F243" t="s">
        <v>110</v>
      </c>
      <c r="G243" t="s">
        <v>44</v>
      </c>
      <c r="H243" t="s">
        <v>36</v>
      </c>
      <c r="I243" t="s">
        <v>98</v>
      </c>
      <c r="J243" t="s">
        <v>52</v>
      </c>
      <c r="K243" t="s">
        <v>99</v>
      </c>
      <c r="L243" t="s">
        <v>67</v>
      </c>
      <c r="M243">
        <v>1</v>
      </c>
      <c r="N243" s="3">
        <v>123.97</v>
      </c>
      <c r="O243" s="4">
        <v>0.3</v>
      </c>
      <c r="P243" s="3">
        <v>14.95</v>
      </c>
      <c r="Q243" t="s">
        <v>30</v>
      </c>
      <c r="R243">
        <v>5</v>
      </c>
      <c r="S243" t="s">
        <v>31</v>
      </c>
      <c r="T243" t="s">
        <v>143</v>
      </c>
    </row>
    <row r="244" spans="1:20">
      <c r="A244" t="s">
        <v>203</v>
      </c>
      <c r="B244" s="2">
        <v>46200</v>
      </c>
      <c r="C244" t="s">
        <v>33</v>
      </c>
      <c r="D244" t="s">
        <v>22</v>
      </c>
      <c r="E244" t="s">
        <v>22</v>
      </c>
      <c r="F244" t="s">
        <v>66</v>
      </c>
      <c r="G244" t="s">
        <v>49</v>
      </c>
      <c r="H244" t="s">
        <v>77</v>
      </c>
      <c r="I244" t="s">
        <v>135</v>
      </c>
      <c r="J244" t="s">
        <v>57</v>
      </c>
      <c r="K244" t="s">
        <v>112</v>
      </c>
      <c r="L244" t="s">
        <v>92</v>
      </c>
      <c r="M244">
        <v>6</v>
      </c>
      <c r="N244" s="3">
        <v>3.71</v>
      </c>
      <c r="O244" s="4">
        <v>0</v>
      </c>
      <c r="P244" s="3">
        <v>34.950000000000003</v>
      </c>
      <c r="Q244" t="s">
        <v>30</v>
      </c>
      <c r="R244">
        <v>5</v>
      </c>
      <c r="S244" t="s">
        <v>41</v>
      </c>
    </row>
    <row r="245" spans="1:20">
      <c r="A245" t="s">
        <v>254</v>
      </c>
      <c r="B245" s="2">
        <v>46201</v>
      </c>
      <c r="C245" t="s">
        <v>33</v>
      </c>
      <c r="D245" t="s">
        <v>101</v>
      </c>
      <c r="E245" t="s">
        <v>101</v>
      </c>
      <c r="F245" t="s">
        <v>108</v>
      </c>
      <c r="G245" t="s">
        <v>44</v>
      </c>
      <c r="H245" t="s">
        <v>77</v>
      </c>
      <c r="I245" t="s">
        <v>135</v>
      </c>
      <c r="J245" t="s">
        <v>57</v>
      </c>
      <c r="K245" t="s">
        <v>112</v>
      </c>
      <c r="L245" t="s">
        <v>92</v>
      </c>
      <c r="M245">
        <v>3</v>
      </c>
      <c r="N245" s="3">
        <v>3.47</v>
      </c>
      <c r="O245" s="4">
        <v>0.05</v>
      </c>
      <c r="P245" s="3">
        <v>19.95</v>
      </c>
      <c r="Q245" t="s">
        <v>30</v>
      </c>
      <c r="R245">
        <v>4</v>
      </c>
      <c r="S245" t="s">
        <v>68</v>
      </c>
    </row>
    <row r="246" spans="1:20">
      <c r="A246" t="s">
        <v>313</v>
      </c>
      <c r="B246" s="2">
        <v>46201</v>
      </c>
      <c r="C246" t="s">
        <v>33</v>
      </c>
      <c r="D246" t="s">
        <v>22</v>
      </c>
      <c r="E246" t="s">
        <v>22</v>
      </c>
      <c r="F246" t="s">
        <v>23</v>
      </c>
      <c r="G246" t="s">
        <v>44</v>
      </c>
      <c r="H246" t="s">
        <v>25</v>
      </c>
      <c r="I246" t="s">
        <v>26</v>
      </c>
      <c r="J246" t="s">
        <v>27</v>
      </c>
      <c r="K246" t="s">
        <v>28</v>
      </c>
      <c r="L246" t="s">
        <v>46</v>
      </c>
      <c r="M246">
        <v>4</v>
      </c>
      <c r="N246" s="3">
        <v>68.510000000000005</v>
      </c>
      <c r="O246" s="4">
        <v>0</v>
      </c>
      <c r="P246" s="3">
        <v>24.95</v>
      </c>
      <c r="Q246" t="s">
        <v>30</v>
      </c>
      <c r="R246">
        <v>5</v>
      </c>
      <c r="S246" t="s">
        <v>41</v>
      </c>
    </row>
    <row r="247" spans="1:20">
      <c r="A247" t="s">
        <v>55</v>
      </c>
      <c r="B247" s="2">
        <v>46202</v>
      </c>
      <c r="C247" t="s">
        <v>33</v>
      </c>
      <c r="D247" t="s">
        <v>22</v>
      </c>
      <c r="E247" t="s">
        <v>22</v>
      </c>
      <c r="F247" t="s">
        <v>23</v>
      </c>
      <c r="G247" t="s">
        <v>24</v>
      </c>
      <c r="H247" t="s">
        <v>36</v>
      </c>
      <c r="I247" t="s">
        <v>56</v>
      </c>
      <c r="J247" t="s">
        <v>57</v>
      </c>
      <c r="K247" t="s">
        <v>58</v>
      </c>
      <c r="L247" t="s">
        <v>59</v>
      </c>
      <c r="M247">
        <v>9</v>
      </c>
      <c r="N247" s="3">
        <v>25.38</v>
      </c>
      <c r="O247" s="4">
        <v>0.1</v>
      </c>
      <c r="P247" s="3">
        <v>14.95</v>
      </c>
      <c r="Q247" t="s">
        <v>30</v>
      </c>
      <c r="R247">
        <v>4</v>
      </c>
      <c r="S247" t="s">
        <v>41</v>
      </c>
    </row>
    <row r="248" spans="1:20">
      <c r="A248" t="s">
        <v>150</v>
      </c>
      <c r="B248" s="2">
        <v>46202</v>
      </c>
      <c r="C248" t="s">
        <v>33</v>
      </c>
      <c r="D248" t="s">
        <v>22</v>
      </c>
      <c r="E248" t="s">
        <v>22</v>
      </c>
      <c r="F248" t="s">
        <v>23</v>
      </c>
      <c r="G248" t="s">
        <v>49</v>
      </c>
      <c r="H248" t="s">
        <v>77</v>
      </c>
      <c r="I248" t="s">
        <v>114</v>
      </c>
      <c r="J248" t="s">
        <v>52</v>
      </c>
      <c r="K248" t="s">
        <v>115</v>
      </c>
      <c r="L248" t="s">
        <v>46</v>
      </c>
      <c r="M248">
        <v>7</v>
      </c>
      <c r="N248" s="3">
        <v>249.98</v>
      </c>
      <c r="O248" s="4">
        <v>0</v>
      </c>
      <c r="P248" s="3">
        <v>14.95</v>
      </c>
      <c r="Q248" t="s">
        <v>30</v>
      </c>
      <c r="R248">
        <v>4</v>
      </c>
      <c r="S248" t="s">
        <v>31</v>
      </c>
    </row>
    <row r="249" spans="1:20">
      <c r="A249" t="s">
        <v>220</v>
      </c>
      <c r="B249" s="2">
        <v>46202</v>
      </c>
      <c r="C249" t="s">
        <v>33</v>
      </c>
      <c r="D249" t="s">
        <v>101</v>
      </c>
      <c r="E249" t="s">
        <v>101</v>
      </c>
      <c r="F249" t="s">
        <v>110</v>
      </c>
      <c r="G249" t="s">
        <v>44</v>
      </c>
      <c r="H249" t="s">
        <v>25</v>
      </c>
      <c r="I249" t="s">
        <v>145</v>
      </c>
      <c r="J249" t="s">
        <v>52</v>
      </c>
      <c r="K249" t="s">
        <v>99</v>
      </c>
      <c r="L249" t="s">
        <v>40</v>
      </c>
      <c r="M249">
        <v>4</v>
      </c>
      <c r="N249" s="3">
        <v>82.89</v>
      </c>
      <c r="O249" s="4">
        <v>0</v>
      </c>
      <c r="P249" s="3">
        <v>5.95</v>
      </c>
      <c r="Q249" t="s">
        <v>30</v>
      </c>
      <c r="R249">
        <v>4</v>
      </c>
      <c r="S249" t="s">
        <v>41</v>
      </c>
    </row>
    <row r="250" spans="1:20">
      <c r="A250" t="s">
        <v>301</v>
      </c>
      <c r="B250" s="2">
        <v>46202</v>
      </c>
      <c r="C250" t="s">
        <v>33</v>
      </c>
      <c r="D250" t="s">
        <v>34</v>
      </c>
      <c r="E250" t="s">
        <v>34</v>
      </c>
      <c r="F250" t="s">
        <v>190</v>
      </c>
      <c r="G250" t="s">
        <v>24</v>
      </c>
      <c r="H250" t="s">
        <v>77</v>
      </c>
      <c r="I250" t="s">
        <v>37</v>
      </c>
      <c r="J250" t="s">
        <v>38</v>
      </c>
      <c r="K250" t="s">
        <v>39</v>
      </c>
      <c r="L250" t="s">
        <v>54</v>
      </c>
      <c r="M250">
        <v>3</v>
      </c>
      <c r="N250" s="3">
        <v>6.32</v>
      </c>
      <c r="O250" s="4">
        <v>0.05</v>
      </c>
      <c r="P250" s="3">
        <v>5.95</v>
      </c>
      <c r="Q250" t="s">
        <v>30</v>
      </c>
      <c r="R250">
        <v>5</v>
      </c>
      <c r="S250" t="s">
        <v>41</v>
      </c>
    </row>
    <row r="251" spans="1:20">
      <c r="A251" t="s">
        <v>303</v>
      </c>
      <c r="B251" s="2">
        <v>46202</v>
      </c>
      <c r="C251" t="s">
        <v>33</v>
      </c>
      <c r="D251" t="s">
        <v>22</v>
      </c>
      <c r="E251" t="s">
        <v>22</v>
      </c>
      <c r="F251" t="s">
        <v>66</v>
      </c>
      <c r="G251" t="s">
        <v>24</v>
      </c>
      <c r="H251" t="s">
        <v>50</v>
      </c>
      <c r="I251" t="s">
        <v>90</v>
      </c>
      <c r="J251" t="s">
        <v>27</v>
      </c>
      <c r="K251" t="s">
        <v>91</v>
      </c>
      <c r="L251" t="s">
        <v>67</v>
      </c>
      <c r="M251">
        <v>1</v>
      </c>
      <c r="N251" s="3">
        <v>190.09</v>
      </c>
      <c r="O251" s="4">
        <v>0.05</v>
      </c>
      <c r="P251" s="3">
        <v>24.95</v>
      </c>
      <c r="Q251" t="s">
        <v>30</v>
      </c>
      <c r="R251">
        <v>5</v>
      </c>
      <c r="S251" t="s">
        <v>68</v>
      </c>
    </row>
  </sheetData>
  <conditionalFormatting sqref="O2:O251">
    <cfRule type="cellIs" dxfId="1" priority="1" operator="greaterThan">
      <formula>0.25</formula>
    </cfRule>
  </conditionalFormatting>
  <conditionalFormatting sqref="Q2:Q251">
    <cfRule type="expression" dxfId="0" priority="2">
      <formula>Q2="Yes"</formula>
    </cfRule>
  </conditionalFormatting>
  <conditionalFormatting sqref="R2:R251">
    <cfRule type="colorScale" priority="3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"/>
  <sheetViews>
    <sheetView zoomScale="104" workbookViewId="0">
      <selection activeCell="D1" sqref="D1:D1048576"/>
    </sheetView>
  </sheetViews>
  <sheetFormatPr baseColWidth="10" defaultColWidth="8.83203125" defaultRowHeight="14"/>
  <cols>
    <col min="1" max="1" width="16.5" customWidth="1"/>
    <col min="2" max="2" width="11.5" customWidth="1"/>
    <col min="3" max="3" width="13.6640625" customWidth="1"/>
    <col min="4" max="4" width="16.1640625" customWidth="1"/>
    <col min="5" max="5" width="22.33203125" customWidth="1"/>
  </cols>
  <sheetData>
    <row r="1" spans="1:26" ht="37.25" customHeight="1">
      <c r="A1" s="1" t="s">
        <v>8</v>
      </c>
      <c r="B1" s="1" t="s">
        <v>9</v>
      </c>
      <c r="C1" s="1" t="s">
        <v>10</v>
      </c>
      <c r="D1" s="1" t="s">
        <v>354</v>
      </c>
      <c r="E1" s="1" t="s">
        <v>355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t="s">
        <v>174</v>
      </c>
      <c r="B2" t="s">
        <v>27</v>
      </c>
      <c r="C2" t="s">
        <v>154</v>
      </c>
      <c r="D2" s="3">
        <v>850</v>
      </c>
      <c r="E2" s="4">
        <v>0.22</v>
      </c>
    </row>
    <row r="3" spans="1:26">
      <c r="A3" t="s">
        <v>153</v>
      </c>
      <c r="B3" t="s">
        <v>27</v>
      </c>
      <c r="C3" t="s">
        <v>154</v>
      </c>
      <c r="D3" s="3">
        <v>620</v>
      </c>
      <c r="E3" s="4">
        <v>0.2</v>
      </c>
    </row>
    <row r="4" spans="1:26">
      <c r="A4" t="s">
        <v>78</v>
      </c>
      <c r="B4" t="s">
        <v>27</v>
      </c>
      <c r="C4" t="s">
        <v>28</v>
      </c>
      <c r="D4" s="3">
        <v>11</v>
      </c>
      <c r="E4" s="4">
        <v>0.45</v>
      </c>
    </row>
    <row r="5" spans="1:26">
      <c r="A5" t="s">
        <v>26</v>
      </c>
      <c r="B5" t="s">
        <v>27</v>
      </c>
      <c r="C5" t="s">
        <v>28</v>
      </c>
      <c r="D5" s="3">
        <v>45</v>
      </c>
      <c r="E5" s="4">
        <v>0.38</v>
      </c>
    </row>
    <row r="6" spans="1:26">
      <c r="A6" t="s">
        <v>45</v>
      </c>
      <c r="B6" t="s">
        <v>27</v>
      </c>
      <c r="C6" t="s">
        <v>28</v>
      </c>
      <c r="D6" s="3">
        <v>22</v>
      </c>
      <c r="E6" s="4">
        <v>0.42</v>
      </c>
    </row>
    <row r="7" spans="1:26">
      <c r="A7" t="s">
        <v>90</v>
      </c>
      <c r="B7" t="s">
        <v>27</v>
      </c>
      <c r="C7" t="s">
        <v>91</v>
      </c>
      <c r="D7" s="3">
        <v>150</v>
      </c>
      <c r="E7" s="4">
        <v>0.25</v>
      </c>
    </row>
    <row r="8" spans="1:26">
      <c r="A8" t="s">
        <v>51</v>
      </c>
      <c r="B8" t="s">
        <v>52</v>
      </c>
      <c r="C8" t="s">
        <v>53</v>
      </c>
      <c r="D8" s="3">
        <v>80</v>
      </c>
      <c r="E8" s="4">
        <v>0.32</v>
      </c>
    </row>
    <row r="9" spans="1:26">
      <c r="A9" t="s">
        <v>114</v>
      </c>
      <c r="B9" t="s">
        <v>52</v>
      </c>
      <c r="C9" t="s">
        <v>115</v>
      </c>
      <c r="D9" s="3">
        <v>210</v>
      </c>
      <c r="E9" s="4">
        <v>0.28000000000000003</v>
      </c>
    </row>
    <row r="10" spans="1:26">
      <c r="A10" t="s">
        <v>98</v>
      </c>
      <c r="B10" t="s">
        <v>52</v>
      </c>
      <c r="C10" t="s">
        <v>99</v>
      </c>
      <c r="D10" s="3">
        <v>95</v>
      </c>
      <c r="E10" s="4">
        <v>0.3</v>
      </c>
    </row>
    <row r="11" spans="1:26">
      <c r="A11" t="s">
        <v>145</v>
      </c>
      <c r="B11" t="s">
        <v>52</v>
      </c>
      <c r="C11" t="s">
        <v>99</v>
      </c>
      <c r="D11" s="3">
        <v>60</v>
      </c>
      <c r="E11" s="4">
        <v>0.26</v>
      </c>
    </row>
    <row r="12" spans="1:26">
      <c r="A12" t="s">
        <v>127</v>
      </c>
      <c r="B12" t="s">
        <v>57</v>
      </c>
      <c r="C12" t="s">
        <v>58</v>
      </c>
      <c r="D12" s="3">
        <v>3.5</v>
      </c>
      <c r="E12" s="4">
        <v>0.55000000000000004</v>
      </c>
    </row>
    <row r="13" spans="1:26">
      <c r="A13" t="s">
        <v>56</v>
      </c>
      <c r="B13" t="s">
        <v>57</v>
      </c>
      <c r="C13" t="s">
        <v>58</v>
      </c>
      <c r="D13" s="3">
        <v>18</v>
      </c>
      <c r="E13" s="4">
        <v>0.35</v>
      </c>
    </row>
    <row r="14" spans="1:26">
      <c r="A14" t="s">
        <v>135</v>
      </c>
      <c r="B14" t="s">
        <v>57</v>
      </c>
      <c r="C14" t="s">
        <v>112</v>
      </c>
      <c r="D14" s="3">
        <v>2.2000000000000002</v>
      </c>
      <c r="E14" s="4">
        <v>0.6</v>
      </c>
    </row>
    <row r="15" spans="1:26">
      <c r="A15" t="s">
        <v>111</v>
      </c>
      <c r="B15" t="s">
        <v>57</v>
      </c>
      <c r="C15" t="s">
        <v>112</v>
      </c>
      <c r="D15" s="3">
        <v>4.5</v>
      </c>
      <c r="E15" s="4">
        <v>0.48</v>
      </c>
    </row>
    <row r="16" spans="1:26">
      <c r="A16" t="s">
        <v>139</v>
      </c>
      <c r="B16" t="s">
        <v>57</v>
      </c>
      <c r="C16" t="s">
        <v>99</v>
      </c>
      <c r="D16" s="3">
        <v>8.5</v>
      </c>
      <c r="E16" s="4">
        <v>0.5</v>
      </c>
    </row>
    <row r="17" spans="1:5">
      <c r="A17" t="s">
        <v>125</v>
      </c>
      <c r="B17" t="s">
        <v>38</v>
      </c>
      <c r="C17" t="s">
        <v>39</v>
      </c>
      <c r="D17" s="3">
        <v>13</v>
      </c>
      <c r="E17" s="4">
        <v>0.4</v>
      </c>
    </row>
    <row r="18" spans="1:5">
      <c r="A18" t="s">
        <v>37</v>
      </c>
      <c r="B18" t="s">
        <v>38</v>
      </c>
      <c r="C18" t="s">
        <v>39</v>
      </c>
      <c r="D18" s="3">
        <v>4</v>
      </c>
      <c r="E18" s="4">
        <v>0.52</v>
      </c>
    </row>
    <row r="19" spans="1:5">
      <c r="A19" t="s">
        <v>61</v>
      </c>
      <c r="B19" t="s">
        <v>38</v>
      </c>
      <c r="C19" t="s">
        <v>62</v>
      </c>
      <c r="D19" s="3">
        <v>12</v>
      </c>
      <c r="E19" s="4">
        <v>0.36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6"/>
  <sheetViews>
    <sheetView workbookViewId="0"/>
  </sheetViews>
  <sheetFormatPr baseColWidth="10" defaultColWidth="8.83203125" defaultRowHeight="14"/>
  <cols>
    <col min="1" max="1" width="5.6640625" customWidth="1"/>
    <col min="2" max="2" width="17.5" customWidth="1"/>
    <col min="3" max="3" width="17.6640625" customWidth="1"/>
  </cols>
  <sheetData>
    <row r="1" spans="1:26" ht="37.25" customHeight="1">
      <c r="A1" s="1" t="s">
        <v>3</v>
      </c>
      <c r="B1" s="1" t="s">
        <v>356</v>
      </c>
      <c r="C1" s="1" t="s">
        <v>357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t="s">
        <v>22</v>
      </c>
      <c r="B2" s="5">
        <v>65000</v>
      </c>
      <c r="C2" s="5">
        <v>9000</v>
      </c>
    </row>
    <row r="3" spans="1:26">
      <c r="A3" t="s">
        <v>80</v>
      </c>
      <c r="B3" s="5">
        <v>52000</v>
      </c>
      <c r="C3" s="5">
        <v>7200</v>
      </c>
    </row>
    <row r="4" spans="1:26">
      <c r="A4" t="s">
        <v>34</v>
      </c>
      <c r="B4" s="5">
        <v>38000</v>
      </c>
      <c r="C4" s="5">
        <v>5400</v>
      </c>
    </row>
    <row r="5" spans="1:26">
      <c r="A5" t="s">
        <v>101</v>
      </c>
      <c r="B5" s="5">
        <v>26000</v>
      </c>
      <c r="C5" s="5">
        <v>3600</v>
      </c>
    </row>
    <row r="6" spans="1:26">
      <c r="A6" t="s">
        <v>75</v>
      </c>
      <c r="B6" s="5">
        <v>18000</v>
      </c>
      <c r="C6" s="5">
        <v>2600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7"/>
  <sheetViews>
    <sheetView topLeftCell="A2" workbookViewId="0"/>
  </sheetViews>
  <sheetFormatPr baseColWidth="10" defaultColWidth="8.83203125" defaultRowHeight="14"/>
  <cols>
    <col min="1" max="1" width="14" customWidth="1"/>
    <col min="2" max="2" width="18" customWidth="1"/>
    <col min="3" max="3" width="60" customWidth="1"/>
    <col min="4" max="4" width="44" customWidth="1"/>
    <col min="6" max="6" width="50" customWidth="1"/>
  </cols>
  <sheetData>
    <row r="1" spans="1:26" ht="37.25" customHeight="1">
      <c r="A1" s="1" t="s">
        <v>358</v>
      </c>
      <c r="B1" s="1" t="s">
        <v>359</v>
      </c>
      <c r="C1" s="1" t="s">
        <v>360</v>
      </c>
      <c r="D1" s="1" t="s">
        <v>361</v>
      </c>
      <c r="E1" s="6"/>
      <c r="F1" s="1" t="s">
        <v>362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0" customHeight="1">
      <c r="A2" t="s">
        <v>363</v>
      </c>
      <c r="B2" t="s">
        <v>364</v>
      </c>
      <c r="C2" t="s">
        <v>365</v>
      </c>
      <c r="D2" t="s">
        <v>366</v>
      </c>
      <c r="F2" s="6" t="s">
        <v>367</v>
      </c>
    </row>
    <row r="3" spans="1:26">
      <c r="A3" t="s">
        <v>363</v>
      </c>
      <c r="B3" t="s">
        <v>368</v>
      </c>
      <c r="C3" t="s">
        <v>369</v>
      </c>
      <c r="D3" t="s">
        <v>370</v>
      </c>
    </row>
    <row r="4" spans="1:26">
      <c r="A4" t="s">
        <v>363</v>
      </c>
      <c r="B4" t="s">
        <v>368</v>
      </c>
      <c r="C4" t="s">
        <v>371</v>
      </c>
      <c r="D4" t="s">
        <v>372</v>
      </c>
    </row>
    <row r="5" spans="1:26">
      <c r="A5" t="s">
        <v>363</v>
      </c>
      <c r="B5" t="s">
        <v>368</v>
      </c>
      <c r="C5" t="s">
        <v>373</v>
      </c>
      <c r="D5" t="s">
        <v>374</v>
      </c>
    </row>
    <row r="6" spans="1:26">
      <c r="A6" t="s">
        <v>363</v>
      </c>
      <c r="B6" t="s">
        <v>375</v>
      </c>
      <c r="C6" t="s">
        <v>376</v>
      </c>
      <c r="D6" t="s">
        <v>377</v>
      </c>
    </row>
    <row r="7" spans="1:26">
      <c r="A7" t="s">
        <v>363</v>
      </c>
      <c r="B7" t="s">
        <v>378</v>
      </c>
      <c r="C7" t="s">
        <v>379</v>
      </c>
      <c r="D7" t="s">
        <v>380</v>
      </c>
    </row>
    <row r="8" spans="1:26">
      <c r="A8" t="s">
        <v>381</v>
      </c>
      <c r="B8" t="s">
        <v>382</v>
      </c>
      <c r="C8" t="s">
        <v>383</v>
      </c>
      <c r="D8" t="s">
        <v>384</v>
      </c>
    </row>
    <row r="9" spans="1:26">
      <c r="A9" t="s">
        <v>381</v>
      </c>
      <c r="B9" t="s">
        <v>385</v>
      </c>
      <c r="C9" t="s">
        <v>386</v>
      </c>
      <c r="D9" t="s">
        <v>387</v>
      </c>
    </row>
    <row r="10" spans="1:26">
      <c r="A10" t="s">
        <v>381</v>
      </c>
      <c r="B10" t="s">
        <v>388</v>
      </c>
      <c r="C10" t="s">
        <v>389</v>
      </c>
      <c r="D10" t="s">
        <v>390</v>
      </c>
    </row>
    <row r="11" spans="1:26">
      <c r="A11" t="s">
        <v>381</v>
      </c>
      <c r="B11" t="s">
        <v>391</v>
      </c>
      <c r="C11" t="s">
        <v>392</v>
      </c>
      <c r="D11" t="s">
        <v>393</v>
      </c>
    </row>
    <row r="12" spans="1:26">
      <c r="A12" t="s">
        <v>381</v>
      </c>
      <c r="B12" t="s">
        <v>394</v>
      </c>
      <c r="C12" t="s">
        <v>395</v>
      </c>
      <c r="D12" t="s">
        <v>396</v>
      </c>
    </row>
    <row r="13" spans="1:26">
      <c r="A13" t="s">
        <v>381</v>
      </c>
      <c r="B13" t="s">
        <v>397</v>
      </c>
      <c r="C13" t="s">
        <v>398</v>
      </c>
      <c r="D13" t="s">
        <v>399</v>
      </c>
    </row>
    <row r="14" spans="1:26">
      <c r="A14" t="s">
        <v>381</v>
      </c>
      <c r="B14" t="s">
        <v>400</v>
      </c>
      <c r="C14" t="s">
        <v>401</v>
      </c>
      <c r="D14" t="s">
        <v>402</v>
      </c>
    </row>
    <row r="15" spans="1:26">
      <c r="A15" t="s">
        <v>403</v>
      </c>
      <c r="B15" t="s">
        <v>404</v>
      </c>
      <c r="C15" t="s">
        <v>405</v>
      </c>
      <c r="D15" t="s">
        <v>406</v>
      </c>
    </row>
    <row r="16" spans="1:26">
      <c r="A16" t="s">
        <v>403</v>
      </c>
      <c r="B16" t="s">
        <v>407</v>
      </c>
      <c r="C16" t="s">
        <v>408</v>
      </c>
      <c r="D16" t="s">
        <v>409</v>
      </c>
    </row>
    <row r="17" spans="1:4">
      <c r="A17" t="s">
        <v>403</v>
      </c>
      <c r="B17" t="s">
        <v>410</v>
      </c>
      <c r="C17" t="s">
        <v>411</v>
      </c>
      <c r="D17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"/>
  <sheetViews>
    <sheetView workbookViewId="0">
      <selection activeCell="B3" sqref="B3"/>
    </sheetView>
  </sheetViews>
  <sheetFormatPr baseColWidth="10" defaultColWidth="8.83203125" defaultRowHeight="14"/>
  <cols>
    <col min="1" max="1" width="28" customWidth="1"/>
    <col min="2" max="2" width="55" customWidth="1"/>
    <col min="3" max="3" width="28" customWidth="1"/>
    <col min="5" max="8" width="18" customWidth="1"/>
  </cols>
  <sheetData>
    <row r="1" spans="1:26" ht="37.25" customHeight="1">
      <c r="A1" s="1" t="s">
        <v>413</v>
      </c>
      <c r="B1" s="1" t="s">
        <v>414</v>
      </c>
      <c r="C1" s="1" t="s">
        <v>415</v>
      </c>
      <c r="D1" s="6"/>
      <c r="E1" s="1" t="s">
        <v>416</v>
      </c>
      <c r="F1" s="1"/>
      <c r="G1" s="1"/>
      <c r="H1" s="1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6">
      <c r="A2" t="s">
        <v>417</v>
      </c>
      <c r="B2">
        <f>SUM(Sales_Data!M:M)</f>
        <v>942</v>
      </c>
      <c r="C2" t="s">
        <v>418</v>
      </c>
      <c r="E2" s="7" t="s">
        <v>419</v>
      </c>
      <c r="F2" s="7" t="s">
        <v>420</v>
      </c>
    </row>
    <row r="3" spans="1:26">
      <c r="A3" t="s">
        <v>421</v>
      </c>
      <c r="B3">
        <f>SUMPRODUCT(Sales_Data!M:M,Sales_Data!N:N)</f>
        <v>93217.239999999962</v>
      </c>
      <c r="C3" t="s">
        <v>422</v>
      </c>
      <c r="E3" t="s">
        <v>423</v>
      </c>
      <c r="F3">
        <f>COUNTA(Sales_Data!A:A)-1</f>
        <v>250</v>
      </c>
    </row>
    <row r="4" spans="1:26">
      <c r="A4" t="s">
        <v>424</v>
      </c>
      <c r="B4">
        <f>COUNTIF(Sales_Data!Q:Q,"Yes")</f>
        <v>25</v>
      </c>
      <c r="C4" t="s">
        <v>425</v>
      </c>
      <c r="E4" t="s">
        <v>426</v>
      </c>
      <c r="F4" s="3">
        <f ca="1">COUNTA(_xludf.UNIQUE(Sales_Data!I2:I251))</f>
        <v>1</v>
      </c>
    </row>
    <row r="5" spans="1:26">
      <c r="A5" t="s">
        <v>427</v>
      </c>
      <c r="B5">
        <f>COUNTIF(Sales_Data!J:J,"Technology")</f>
        <v>85</v>
      </c>
      <c r="C5" t="s">
        <v>428</v>
      </c>
      <c r="E5" t="s">
        <v>429</v>
      </c>
      <c r="F5">
        <f>SUMPRODUCT(Sales_Data!M2:M251,Sales_Data!N2:N251)</f>
        <v>93217.239999999962</v>
      </c>
    </row>
    <row r="6" spans="1:26">
      <c r="A6" t="s">
        <v>430</v>
      </c>
      <c r="B6">
        <f>COUNTIF(Sales_Data!D:D,"NSW")</f>
        <v>89</v>
      </c>
      <c r="C6" t="s">
        <v>431</v>
      </c>
      <c r="E6" t="s">
        <v>432</v>
      </c>
      <c r="F6" s="8">
        <f>AVERAGE(Sales_Data!R2:R251)</f>
        <v>3.7879999999999998</v>
      </c>
    </row>
    <row r="7" spans="1:26">
      <c r="A7" t="s">
        <v>433</v>
      </c>
      <c r="B7">
        <f>ROUND(AVERAGE(Sales_Data!O:O),4)</f>
        <v>8.8599999999999998E-2</v>
      </c>
      <c r="C7" t="s">
        <v>434</v>
      </c>
      <c r="E7" t="s">
        <v>435</v>
      </c>
      <c r="F7">
        <f>COUNTIF(Sales_Data!Q2:Q251,"Yes")/COUNTA(Sales_Data!Q2:Q251)</f>
        <v>0.1</v>
      </c>
    </row>
    <row r="8" spans="1:26">
      <c r="A8" t="s">
        <v>436</v>
      </c>
      <c r="B8">
        <f>MAX(Sales_Data!N:N)</f>
        <v>1064.73</v>
      </c>
      <c r="C8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Product_Lookup</vt:lpstr>
      <vt:lpstr>Region_Targets</vt:lpstr>
      <vt:lpstr>Questions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 Rauniyar</cp:lastModifiedBy>
  <dcterms:created xsi:type="dcterms:W3CDTF">2026-06-25T16:26:19Z</dcterms:created>
  <dcterms:modified xsi:type="dcterms:W3CDTF">2026-06-25T16:26:19Z</dcterms:modified>
</cp:coreProperties>
</file>